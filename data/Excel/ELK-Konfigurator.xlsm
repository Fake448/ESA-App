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
    </mc:Choice>
  </mc:AlternateContent>
  <bookViews>
    <workbookView xWindow="0" yWindow="0" windowWidth="28800" windowHeight="12285" tabRatio="541" activeTab="1"/>
  </bookViews>
  <sheets>
    <sheet name="Konfigurator" sheetId="1" r:id="rId1"/>
    <sheet name="Einbaugeräte" sheetId="3" r:id="rId2"/>
    <sheet name="Frontblenden" sheetId="2"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2" l="1"/>
  <c r="G23" i="2" l="1"/>
  <c r="G21" i="2"/>
  <c r="G19" i="2"/>
  <c r="G17" i="2"/>
  <c r="G15" i="2"/>
  <c r="G13" i="2"/>
  <c r="G11" i="2"/>
  <c r="G9" i="2"/>
  <c r="G7" i="2"/>
  <c r="G5" i="2"/>
  <c r="E23" i="2"/>
  <c r="R22" i="2"/>
  <c r="C23" i="2" s="1"/>
  <c r="C15" i="2"/>
  <c r="R20" i="2"/>
  <c r="C21" i="2" s="1"/>
  <c r="R18" i="2"/>
  <c r="C19" i="2" s="1"/>
  <c r="R16" i="2"/>
  <c r="C17" i="2" s="1"/>
  <c r="R14" i="2"/>
  <c r="R12" i="2"/>
  <c r="C13" i="2" s="1"/>
  <c r="R10" i="2"/>
  <c r="C11" i="2" s="1"/>
  <c r="R8" i="2"/>
  <c r="C9" i="2" s="1"/>
  <c r="R6" i="2"/>
  <c r="C7" i="2" s="1"/>
  <c r="R4" i="2"/>
  <c r="I23" i="2" l="1"/>
  <c r="O23" i="2"/>
  <c r="K23" i="2"/>
  <c r="M23" i="2"/>
  <c r="O17" i="2"/>
  <c r="K17" i="2"/>
  <c r="E17" i="2"/>
  <c r="I17" i="2"/>
  <c r="M17" i="2"/>
  <c r="M11" i="2"/>
  <c r="I11" i="2"/>
  <c r="O11" i="2"/>
  <c r="K11" i="2"/>
  <c r="E11" i="2"/>
  <c r="I9" i="2"/>
  <c r="O9" i="2"/>
  <c r="K9" i="2"/>
  <c r="E9" i="2"/>
  <c r="M9" i="2"/>
  <c r="O19" i="2"/>
  <c r="E19" i="2"/>
  <c r="K19" i="2"/>
  <c r="I19" i="2"/>
  <c r="M19" i="2"/>
  <c r="O13" i="2"/>
  <c r="K13" i="2"/>
  <c r="E13" i="2"/>
  <c r="M13" i="2"/>
  <c r="I13" i="2"/>
  <c r="M7" i="2"/>
  <c r="I7" i="2"/>
  <c r="O7" i="2"/>
  <c r="K7" i="2"/>
  <c r="E7" i="2"/>
  <c r="O15" i="2"/>
  <c r="K15" i="2"/>
  <c r="E15" i="2"/>
  <c r="I15" i="2"/>
  <c r="M15" i="2"/>
  <c r="E5" i="2"/>
  <c r="M5" i="2"/>
  <c r="O5" i="2"/>
  <c r="K5" i="2"/>
  <c r="I5" i="2"/>
  <c r="E21" i="2"/>
  <c r="O21" i="2"/>
  <c r="M21" i="2"/>
  <c r="K21" i="2"/>
  <c r="I21" i="2"/>
  <c r="S23" i="2" l="1"/>
  <c r="S17" i="2"/>
  <c r="S5" i="2"/>
  <c r="S15" i="2"/>
  <c r="S21" i="2"/>
  <c r="S9" i="2"/>
  <c r="S13" i="2"/>
  <c r="S7" i="2"/>
  <c r="S19" i="2"/>
  <c r="S11" i="2"/>
</calcChain>
</file>

<file path=xl/sharedStrings.xml><?xml version="1.0" encoding="utf-8"?>
<sst xmlns="http://schemas.openxmlformats.org/spreadsheetml/2006/main" count="256" uniqueCount="66">
  <si>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</si>
  <si>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</si>
  <si>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</si>
  <si>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</si>
  <si>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</si>
  <si>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</si>
  <si>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</si>
  <si>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</si>
  <si>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</si>
  <si>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</si>
  <si>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</si>
  <si>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</si>
  <si>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</si>
  <si>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</si>
  <si>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</si>
  <si>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</si>
  <si>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</si>
  <si>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</si>
  <si>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</si>
  <si>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</si>
  <si>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</si>
  <si>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</si>
  <si>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</si>
  <si>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</si>
  <si>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</si>
  <si>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</si>
  <si>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</si>
  <si>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</si>
  <si>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</si>
  <si>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</si>
  <si>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</si>
  <si>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</si>
  <si>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</si>
  <si>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</si>
  <si>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</si>
  <si>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S1</t>
  </si>
  <si>
    <t>S2</t>
  </si>
  <si>
    <t>S3</t>
  </si>
  <si>
    <t>S4</t>
  </si>
  <si>
    <t>S5</t>
  </si>
  <si>
    <t>T1</t>
  </si>
  <si>
    <t>Taster</t>
  </si>
  <si>
    <t>3p</t>
  </si>
  <si>
    <t>5p</t>
  </si>
  <si>
    <t>E-MEN.11011</t>
  </si>
  <si>
    <t>E-MEN.1619</t>
  </si>
  <si>
    <t>E-MEN.3008</t>
  </si>
  <si>
    <t>E-MEN.1797</t>
  </si>
  <si>
    <t>E-MEN.3171</t>
  </si>
  <si>
    <t>E-MEN.21160A</t>
  </si>
  <si>
    <t>Form</t>
  </si>
  <si>
    <t>gerade</t>
  </si>
  <si>
    <t>Neigung 20°</t>
  </si>
  <si>
    <t>Frontblenden zur Auswahl</t>
  </si>
  <si>
    <t>Anzahl</t>
  </si>
  <si>
    <t>E-MEN.1168</t>
  </si>
  <si>
    <t>IP67</t>
  </si>
  <si>
    <t>E-MEN.1173</t>
  </si>
  <si>
    <t>E-MEN.3590</t>
  </si>
  <si>
    <t>E-MEN.20148A</t>
  </si>
  <si>
    <t>Stecktür</t>
  </si>
  <si>
    <t xml:space="preserve"> </t>
  </si>
  <si>
    <t>ST</t>
  </si>
  <si>
    <t>B-BL.1******</t>
  </si>
  <si>
    <t>E-MEN.3070</t>
  </si>
  <si>
    <t>Merkmal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</si>
</sst>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sz val="20"/>
      <color theme="1"/>
      <name val="Calibri"/>
      <family val="2"/>
      <scheme val="minor"/>
    </font>
    <font>
      <sz val="20"/>
      <name val="Calibri"/>
      <family val="2"/>
      <scheme val="minor"/>
    </font>
    <font>
      <b/>
      <sz val="14"/>
      <color theme="1"/>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39997558519241921"/>
        <bgColor indexed="65"/>
      </patternFill>
    </fill>
  </fills>
  <borders count="26">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theme="0"/>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s>
  <cellStyleXfs count="5">
    <xf numFmtId="0" fontId="0" fillId="0" borderId="0"/>
    <xf numFmtId="0" fontId="2" fillId="0" borderId="0" applyNumberFormat="0" applyFill="0" applyBorder="0" applyAlignment="0" applyProtection="0"/>
    <xf numFmtId="0" fontId="5" fillId="3" borderId="0" applyNumberFormat="0" applyBorder="0" applyAlignment="0" applyProtection="0"/>
    <xf numFmtId="0" fontId="5" fillId="4" borderId="0" applyNumberFormat="0" applyBorder="0" applyAlignment="0" applyProtection="0"/>
    <xf numFmtId="0" fontId="8" fillId="5" borderId="0" applyNumberFormat="0" applyBorder="0" applyAlignment="0" applyProtection="0"/>
  </cellStyleXfs>
  <cellXfs count="7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1" fillId="0" borderId="0" xfId="0" applyFont="1" applyAlignment="1">
      <alignment horizontal="center"/>
    </xf>
    <xf numFmtId="0" fontId="0" fillId="0" borderId="0" xfId="0" applyAlignment="1">
      <alignment horizontal="left" indent="1"/>
    </xf>
    <xf numFmtId="0" fontId="0" fillId="0" borderId="2" xfId="0" applyBorder="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4" xfId="0" applyBorder="1" applyAlignment="1" applyProtection="1">
      <alignment horizontal="center" vertical="center"/>
    </xf>
    <xf numFmtId="0" fontId="0" fillId="0" borderId="14" xfId="0" applyBorder="1" applyAlignment="1" applyProtection="1">
      <alignment horizontal="center" vertical="center"/>
      <protection locked="0"/>
    </xf>
    <xf numFmtId="0" fontId="0" fillId="0" borderId="16" xfId="0" applyBorder="1" applyAlignment="1">
      <alignment horizontal="left" vertical="center"/>
    </xf>
    <xf numFmtId="0" fontId="0" fillId="0" borderId="16" xfId="0" applyBorder="1" applyAlignment="1">
      <alignment horizontal="center" vertical="center"/>
    </xf>
    <xf numFmtId="0" fontId="0" fillId="0" borderId="17" xfId="0" applyBorder="1" applyAlignment="1" applyProtection="1">
      <alignment horizontal="center" vertical="center"/>
      <protection locked="0"/>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2" xfId="0" applyBorder="1" applyAlignment="1" applyProtection="1">
      <alignment horizontal="center" vertical="center"/>
      <protection locked="0"/>
    </xf>
    <xf numFmtId="0" fontId="5" fillId="4" borderId="0" xfId="3"/>
    <xf numFmtId="0" fontId="5" fillId="4" borderId="0" xfId="3" applyAlignment="1">
      <alignment vertical="center"/>
    </xf>
    <xf numFmtId="0" fontId="5" fillId="4" borderId="0" xfId="3" applyBorder="1"/>
    <xf numFmtId="0" fontId="0" fillId="0" borderId="12" xfId="0" applyBorder="1" applyAlignment="1" applyProtection="1">
      <alignment horizontal="center" vertical="center"/>
    </xf>
    <xf numFmtId="0" fontId="0" fillId="0" borderId="0" xfId="0" applyBorder="1" applyAlignment="1" applyProtection="1">
      <alignment horizontal="center" vertical="center"/>
    </xf>
    <xf numFmtId="0" fontId="12" fillId="0" borderId="0" xfId="0" applyFont="1" applyBorder="1" applyAlignment="1">
      <alignment vertical="center"/>
    </xf>
    <xf numFmtId="0" fontId="2" fillId="0" borderId="11" xfId="1" applyBorder="1" applyAlignment="1">
      <alignment horizontal="center" vertical="center"/>
    </xf>
    <xf numFmtId="0" fontId="2" fillId="0" borderId="0" xfId="1" applyBorder="1" applyAlignment="1">
      <alignment horizontal="center" vertical="center"/>
    </xf>
    <xf numFmtId="0" fontId="2" fillId="0" borderId="16" xfId="1" applyBorder="1" applyAlignment="1">
      <alignment horizontal="center" vertical="center"/>
    </xf>
    <xf numFmtId="0" fontId="0" fillId="0" borderId="11" xfId="0" applyBorder="1" applyAlignment="1">
      <alignment horizontal="left" vertical="center" indent="1"/>
    </xf>
    <xf numFmtId="0" fontId="0" fillId="0" borderId="0" xfId="0" applyBorder="1" applyAlignment="1">
      <alignment horizontal="left" vertical="center" indent="1"/>
    </xf>
    <xf numFmtId="0" fontId="0" fillId="0" borderId="16" xfId="0" applyBorder="1" applyAlignment="1">
      <alignment horizontal="left" vertical="center" indent="1"/>
    </xf>
    <xf numFmtId="0" fontId="12" fillId="0" borderId="10" xfId="0" applyFont="1" applyBorder="1" applyAlignment="1">
      <alignment horizontal="left" vertical="center" indent="1"/>
    </xf>
    <xf numFmtId="0" fontId="12" fillId="0" borderId="13" xfId="0" applyFont="1" applyBorder="1" applyAlignment="1">
      <alignment horizontal="left" vertical="center" indent="1"/>
    </xf>
    <xf numFmtId="0" fontId="12" fillId="0" borderId="15" xfId="0" applyFont="1" applyBorder="1" applyAlignment="1">
      <alignment horizontal="left" vertical="center" indent="1"/>
    </xf>
    <xf numFmtId="0" fontId="9" fillId="2" borderId="22" xfId="0" applyFont="1" applyFill="1" applyBorder="1" applyAlignment="1">
      <alignment vertical="center"/>
    </xf>
    <xf numFmtId="0" fontId="6" fillId="0" borderId="16" xfId="0" applyFont="1" applyBorder="1" applyAlignment="1">
      <alignment vertical="center"/>
    </xf>
    <xf numFmtId="0" fontId="6" fillId="0" borderId="0" xfId="0" applyFont="1" applyAlignment="1">
      <alignment vertical="center"/>
    </xf>
    <xf numFmtId="0" fontId="5" fillId="4" borderId="0" xfId="3" applyAlignment="1">
      <alignment horizontal="center" vertical="center"/>
    </xf>
    <xf numFmtId="0" fontId="10" fillId="3" borderId="20" xfId="2" applyFont="1" applyBorder="1" applyAlignment="1">
      <alignment horizontal="center" vertical="center"/>
    </xf>
    <xf numFmtId="0" fontId="7" fillId="0" borderId="23" xfId="0" applyFont="1" applyBorder="1" applyAlignment="1">
      <alignment vertical="center"/>
    </xf>
    <xf numFmtId="0" fontId="7" fillId="0" borderId="18" xfId="0" applyFont="1" applyBorder="1" applyAlignment="1">
      <alignment vertical="center"/>
    </xf>
    <xf numFmtId="0" fontId="7" fillId="0" borderId="18" xfId="0" applyFont="1" applyBorder="1" applyAlignment="1">
      <alignment horizontal="center" vertical="center"/>
    </xf>
    <xf numFmtId="0" fontId="7" fillId="0" borderId="24" xfId="0" applyFont="1" applyBorder="1" applyAlignment="1">
      <alignment vertical="center"/>
    </xf>
    <xf numFmtId="0" fontId="7" fillId="4" borderId="13" xfId="3" applyFont="1" applyBorder="1" applyAlignment="1">
      <alignment vertical="center"/>
    </xf>
    <xf numFmtId="0" fontId="7" fillId="0" borderId="16" xfId="0" applyFont="1" applyBorder="1"/>
    <xf numFmtId="0" fontId="0" fillId="0" borderId="25" xfId="0" applyBorder="1"/>
    <xf numFmtId="0" fontId="0" fillId="0" borderId="3" xfId="0" applyBorder="1"/>
    <xf numFmtId="0" fontId="0" fillId="0" borderId="4" xfId="0" applyBorder="1"/>
    <xf numFmtId="0" fontId="0" fillId="0" borderId="8" xfId="0" applyBorder="1"/>
    <xf numFmtId="0" fontId="3" fillId="0" borderId="0" xfId="0" applyFont="1" applyAlignment="1">
      <alignment horizontal="center"/>
    </xf>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10" fillId="3" borderId="19" xfId="2" applyFont="1" applyBorder="1" applyAlignment="1">
      <alignment horizontal="center" vertical="center"/>
    </xf>
    <xf numFmtId="0" fontId="10" fillId="3" borderId="20" xfId="2" applyFont="1" applyBorder="1" applyAlignment="1">
      <alignment horizontal="center" vertical="center"/>
    </xf>
    <xf numFmtId="0" fontId="11" fillId="5" borderId="19" xfId="4" applyFont="1" applyBorder="1" applyAlignment="1">
      <alignment horizontal="center" vertical="center"/>
    </xf>
    <xf numFmtId="0" fontId="11" fillId="5" borderId="20" xfId="4" applyFont="1" applyBorder="1" applyAlignment="1">
      <alignment horizontal="center" vertical="center"/>
    </xf>
    <xf numFmtId="0" fontId="11" fillId="5" borderId="21" xfId="4" applyFont="1" applyBorder="1" applyAlignment="1">
      <alignment horizontal="center" vertic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1" fillId="0" borderId="0" xfId="0" applyFont="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8" xfId="0" applyBorder="1" applyAlignment="1">
      <alignment horizontal="center"/>
    </xf>
  </cellXfs>
  <cellStyles count="5">
    <cellStyle name="20 % - Akzent1" xfId="3" builtinId="30"/>
    <cellStyle name="40 % - Akzent1" xfId="2" builtinId="31"/>
    <cellStyle name="60 % - Akzent1" xfId="4" builtinId="32"/>
    <cellStyle name="Link" xfId="1" builtinId="8"/>
    <cellStyle name="Standard" xfId="0" builtinId="0"/>
  </cellStyles>
  <dxfs count="67">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center" textRotation="0" wrapText="0" indent="0"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general" vertical="center" textRotation="0" wrapText="0" indent="0" justifyLastLine="0" shrinkToFit="0" readingOrder="0"/>
    </dxf>
    <dxf>
      <border>
        <bottom style="medium">
          <color indexed="64"/>
        </bottom>
      </border>
    </dxf>
    <dxf>
      <font>
        <b val="0"/>
        <i val="0"/>
        <strike val="0"/>
        <condense val="0"/>
        <extend val="0"/>
        <outline val="0"/>
        <shadow val="0"/>
        <u val="none"/>
        <vertAlign val="baseline"/>
        <sz val="16"/>
        <color theme="1"/>
        <name val="Calibri"/>
        <scheme val="minor"/>
      </font>
      <alignment vertical="center"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font>
        <b/>
        <sz val="14"/>
      </font>
      <alignment horizontal="general"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s>
  <tableStyles count="0" defaultTableStyle="TableStyleMedium2" defaultPivotStyle="PivotStyleLight16"/>
  <colors>
    <mruColors>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22" fmlaLink="$K$4" max="4" page="10" val="0"/>
</file>

<file path=xl/ctrlProps/ctrlProp2.xml><?xml version="1.0" encoding="utf-8"?>
<formControlPr xmlns="http://schemas.microsoft.com/office/spreadsheetml/2009/9/main" objectType="Spin" dx="22" fmlaLink="$K$5" max="4" page="10" val="0"/>
</file>

<file path=xl/ctrlProps/ctrlProp3.xml><?xml version="1.0" encoding="utf-8"?>
<formControlPr xmlns="http://schemas.microsoft.com/office/spreadsheetml/2009/9/main" objectType="Spin" dx="22" fmlaLink="$K$6" max="4" page="10" val="0"/>
</file>

<file path=xl/ctrlProps/ctrlProp4.xml><?xml version="1.0" encoding="utf-8"?>
<formControlPr xmlns="http://schemas.microsoft.com/office/spreadsheetml/2009/9/main" objectType="Spin" dx="22" fmlaLink="$K$7" max="4" page="10" val="0"/>
</file>

<file path=xl/ctrlProps/ctrlProp5.xml><?xml version="1.0" encoding="utf-8"?>
<formControlPr xmlns="http://schemas.microsoft.com/office/spreadsheetml/2009/9/main" objectType="Spin" dx="22" fmlaLink="$K$8" max="4" page="10" val="0"/>
</file>

<file path=xl/ctrlProps/ctrlProp6.xml><?xml version="1.0" encoding="utf-8"?>
<formControlPr xmlns="http://schemas.microsoft.com/office/spreadsheetml/2009/9/main" objectType="Spin" dx="22" fmlaLink="$K$11" max="4" page="10" val="0"/>
</file>

<file path=xl/ctrlProps/ctrlProp7.xml><?xml version="1.0" encoding="utf-8"?>
<formControlPr xmlns="http://schemas.microsoft.com/office/spreadsheetml/2009/9/main" objectType="Spin" dx="22" fmlaLink="$K$12" max="4" page="10" val="0"/>
</file>

<file path=xl/ctrlProps/ctrlProp8.xml><?xml version="1.0" encoding="utf-8"?>
<formControlPr xmlns="http://schemas.microsoft.com/office/spreadsheetml/2009/9/main" objectType="Spin" dx="22" fmlaLink="$K$13" max="4" page="10" val="0"/>
</file>

<file path=xl/ctrlProps/ctrlProp9.xml><?xml version="1.0" encoding="utf-8"?>
<formControlPr xmlns="http://schemas.microsoft.com/office/spreadsheetml/2009/9/main" objectType="Spin" dx="22" fmlaLink="$K$14" max="4" page="10" val="0"/>
</file>

<file path=xl/ctrlProps/ctrlProp10.xml><?xml version="1.0" encoding="utf-8"?>
<formControlPr xmlns="http://schemas.microsoft.com/office/spreadsheetml/2009/9/main" objectType="Spin" dx="22" fmlaLink="$N$4" max="2" page="10"/>
</file>

<file path=xl/ctrlProps/ctrlProp11.xml><?xml version="1.0" encoding="utf-8"?>
<formControlPr xmlns="http://schemas.microsoft.com/office/spreadsheetml/2009/9/main" objectType="Spin" dx="22" fmlaLink="$K$10" max="4" page="10" val="0"/>
</file>

<file path=xl/ctrlProps/ctrlProp12.xml><?xml version="1.0" encoding="utf-8"?>
<formControlPr xmlns="http://schemas.microsoft.com/office/spreadsheetml/2009/9/main" objectType="Spin" dx="22" fmlaLink="$N$7" max="2" page="10" val="0"/>
</file>

<file path=xl/ctrlProps/ctrlProp13.xml><?xml version="1.0" encoding="utf-8"?>
<formControlPr xmlns="http://schemas.microsoft.com/office/spreadsheetml/2009/9/main" objectType="Spin" dx="22" fmlaLink="$K$9" max="4" page="10" val="0"/>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676275</xdr:colOff>
          <xdr:row>3</xdr:row>
          <xdr:rowOff>38100</xdr:rowOff>
        </xdr:from>
        <xdr:to>
          <xdr:col>10</xdr:col>
          <xdr:colOff>819150</xdr:colOff>
          <xdr:row>3</xdr:row>
          <xdr:rowOff>333375</xdr:rowOff>
        </xdr:to>
        <xdr:sp macro="" textlink="">
          <xdr:nvSpPr>
            <xdr:cNvPr id="1026" name="Spinner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4</xdr:row>
          <xdr:rowOff>38100</xdr:rowOff>
        </xdr:from>
        <xdr:to>
          <xdr:col>10</xdr:col>
          <xdr:colOff>819150</xdr:colOff>
          <xdr:row>4</xdr:row>
          <xdr:rowOff>323850</xdr:rowOff>
        </xdr:to>
        <xdr:sp macro="" textlink="">
          <xdr:nvSpPr>
            <xdr:cNvPr id="1027" name="Spinner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5</xdr:row>
          <xdr:rowOff>38100</xdr:rowOff>
        </xdr:from>
        <xdr:to>
          <xdr:col>10</xdr:col>
          <xdr:colOff>819150</xdr:colOff>
          <xdr:row>5</xdr:row>
          <xdr:rowOff>333375</xdr:rowOff>
        </xdr:to>
        <xdr:sp macro="" textlink="">
          <xdr:nvSpPr>
            <xdr:cNvPr id="1028" name="Spinner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6</xdr:row>
          <xdr:rowOff>38100</xdr:rowOff>
        </xdr:from>
        <xdr:to>
          <xdr:col>10</xdr:col>
          <xdr:colOff>828675</xdr:colOff>
          <xdr:row>6</xdr:row>
          <xdr:rowOff>323850</xdr:rowOff>
        </xdr:to>
        <xdr:sp macro="" textlink="">
          <xdr:nvSpPr>
            <xdr:cNvPr id="1029" name="Spinner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7</xdr:row>
          <xdr:rowOff>47625</xdr:rowOff>
        </xdr:from>
        <xdr:to>
          <xdr:col>10</xdr:col>
          <xdr:colOff>828675</xdr:colOff>
          <xdr:row>7</xdr:row>
          <xdr:rowOff>333375</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10</xdr:row>
          <xdr:rowOff>47625</xdr:rowOff>
        </xdr:from>
        <xdr:to>
          <xdr:col>10</xdr:col>
          <xdr:colOff>819150</xdr:colOff>
          <xdr:row>10</xdr:row>
          <xdr:rowOff>333375</xdr:rowOff>
        </xdr:to>
        <xdr:sp macro="" textlink="">
          <xdr:nvSpPr>
            <xdr:cNvPr id="1033" name="Spinner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11</xdr:row>
          <xdr:rowOff>47625</xdr:rowOff>
        </xdr:from>
        <xdr:to>
          <xdr:col>10</xdr:col>
          <xdr:colOff>819150</xdr:colOff>
          <xdr:row>11</xdr:row>
          <xdr:rowOff>333375</xdr:rowOff>
        </xdr:to>
        <xdr:sp macro="" textlink="">
          <xdr:nvSpPr>
            <xdr:cNvPr id="1035" name="Spinner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12</xdr:row>
          <xdr:rowOff>47625</xdr:rowOff>
        </xdr:from>
        <xdr:to>
          <xdr:col>10</xdr:col>
          <xdr:colOff>819150</xdr:colOff>
          <xdr:row>12</xdr:row>
          <xdr:rowOff>333375</xdr:rowOff>
        </xdr:to>
        <xdr:sp macro="" textlink="">
          <xdr:nvSpPr>
            <xdr:cNvPr id="1036" name="Spinner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13</xdr:row>
          <xdr:rowOff>47625</xdr:rowOff>
        </xdr:from>
        <xdr:to>
          <xdr:col>10</xdr:col>
          <xdr:colOff>819150</xdr:colOff>
          <xdr:row>13</xdr:row>
          <xdr:rowOff>333375</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3</xdr:row>
          <xdr:rowOff>47625</xdr:rowOff>
        </xdr:from>
        <xdr:to>
          <xdr:col>13</xdr:col>
          <xdr:colOff>819150</xdr:colOff>
          <xdr:row>3</xdr:row>
          <xdr:rowOff>333375</xdr:rowOff>
        </xdr:to>
        <xdr:sp macro="" textlink="">
          <xdr:nvSpPr>
            <xdr:cNvPr id="1038" name="Spinner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9</xdr:row>
          <xdr:rowOff>47625</xdr:rowOff>
        </xdr:from>
        <xdr:to>
          <xdr:col>10</xdr:col>
          <xdr:colOff>819150</xdr:colOff>
          <xdr:row>9</xdr:row>
          <xdr:rowOff>342900</xdr:rowOff>
        </xdr:to>
        <xdr:sp macro="" textlink="">
          <xdr:nvSpPr>
            <xdr:cNvPr id="1039" name="Spinner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6</xdr:row>
          <xdr:rowOff>47625</xdr:rowOff>
        </xdr:from>
        <xdr:to>
          <xdr:col>13</xdr:col>
          <xdr:colOff>819150</xdr:colOff>
          <xdr:row>6</xdr:row>
          <xdr:rowOff>333375</xdr:rowOff>
        </xdr:to>
        <xdr:sp macro="" textlink="">
          <xdr:nvSpPr>
            <xdr:cNvPr id="1041" name="Spinner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8</xdr:row>
          <xdr:rowOff>47625</xdr:rowOff>
        </xdr:from>
        <xdr:to>
          <xdr:col>10</xdr:col>
          <xdr:colOff>828675</xdr:colOff>
          <xdr:row>8</xdr:row>
          <xdr:rowOff>333375</xdr:rowOff>
        </xdr:to>
        <xdr:sp macro="" textlink="">
          <xdr:nvSpPr>
            <xdr:cNvPr id="1042" name="Spinner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8</xdr:row>
          <xdr:rowOff>19050</xdr:rowOff>
        </xdr:from>
        <xdr:to>
          <xdr:col>13</xdr:col>
          <xdr:colOff>476250</xdr:colOff>
          <xdr:row>10</xdr:row>
          <xdr:rowOff>28575</xdr:rowOff>
        </xdr:to>
        <xdr:sp macro="" textlink="">
          <xdr:nvSpPr>
            <xdr:cNvPr id="1043" name="CommandButton1"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6" name="Steckdosen_auswahl" displayName="Steckdosen_auswahl" ref="C3:K14" headerRowDxfId="56" dataDxfId="54" headerRowBorderDxfId="55">
  <autoFilter ref="C3:K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L8">
    <sortCondition ref="C2:C8"/>
  </sortState>
  <tableColumns count="9">
    <tableColumn id="1" name="Artikel" totalsRowLabel="Ergebnis" dataDxfId="53" totalsRowDxfId="52"/>
    <tableColumn id="21" name="Link" dataDxfId="51" totalsRowDxfId="50"/>
    <tableColumn id="2" name="Typ" dataDxfId="49" totalsRowDxfId="48"/>
    <tableColumn id="3" name="Spannung" dataDxfId="47" totalsRowDxfId="46"/>
    <tableColumn id="4" name="Strom" dataDxfId="45" totalsRowDxfId="44"/>
    <tableColumn id="5" name="Pole" dataDxfId="43" totalsRowDxfId="42"/>
    <tableColumn id="6" name="Schutzgrad" dataDxfId="41" totalsRowDxfId="40"/>
    <tableColumn id="22" name="Form" dataDxfId="39" totalsRowDxfId="38"/>
    <tableColumn id="8" name="Anzahl" totalsRowFunction="sum" dataDxfId="37" totalsRowDxfId="36"/>
  </tableColumns>
  <tableStyleInfo name="TableStyleMedium10" showFirstColumn="0" showLastColumn="1" showRowStripes="1" showColumnStripes="0"/>
</table>
</file>

<file path=xl/tables/table2.xml><?xml version="1.0" encoding="utf-8"?>
<table xmlns="http://schemas.openxmlformats.org/spreadsheetml/2006/main" id="1" name="Taster_auswahl" displayName="Taster_auswahl" ref="M6:N7" headerRowDxfId="35" dataDxfId="33" headerRowBorderDxfId="34" tableBorderDxfId="32">
  <autoFilter ref="M6:N7">
    <filterColumn colId="0" hiddenButton="1"/>
    <filterColumn colId="1" hiddenButton="1"/>
  </autoFilter>
  <tableColumns count="2">
    <tableColumn id="1" name=" " totalsRowLabel="Ergebnis" dataDxfId="31" totalsRowDxfId="30"/>
    <tableColumn id="8" name="Anzahl" totalsRowFunction="sum" dataDxfId="29" totalsRowDxfId="28"/>
  </tableColumns>
  <tableStyleInfo name="TableStyleMedium10" showFirstColumn="0" showLastColumn="1" showRowStripes="1" showColumnStripes="0"/>
</table>
</file>

<file path=xl/tables/table3.xml><?xml version="1.0" encoding="utf-8"?>
<table xmlns="http://schemas.openxmlformats.org/spreadsheetml/2006/main" id="2" name="Tabelle2" displayName="Tabelle2" ref="C20:C30" totalsRowShown="0" headerRowDxfId="27">
  <autoFilter ref="C20:C30">
    <filterColumn colId="0" hiddenButton="1"/>
  </autoFilter>
  <sortState ref="C20:C28">
    <sortCondition ref="C20"/>
  </sortState>
  <tableColumns count="1">
    <tableColumn id="1" name="Frontblenden zur Auswahl" dataDxfId="26"/>
  </tableColumns>
  <tableStyleInfo name="TableStyleLight8" showFirstColumn="0" showLastColumn="0" showRowStripes="1" showColumnStripes="0"/>
</table>
</file>

<file path=xl/tables/table4.xml><?xml version="1.0" encoding="utf-8"?>
<table xmlns="http://schemas.openxmlformats.org/spreadsheetml/2006/main" id="4" name="Tabelle4" displayName="Tabelle4" ref="M3:N4" totalsRowShown="0" headerRowDxfId="25" dataDxfId="23" headerRowBorderDxfId="24" tableBorderDxfId="22">
  <autoFilter ref="M3:N4">
    <filterColumn colId="0" hiddenButton="1"/>
    <filterColumn colId="1" hiddenButton="1"/>
  </autoFilter>
  <tableColumns count="2">
    <tableColumn id="1" name=" " dataDxfId="21"/>
    <tableColumn id="2" name="Anzahl" dataDxfId="20"/>
  </tableColumns>
  <tableStyleInfo name="TableStyleMedium10" showFirstColumn="0" showLastColumn="1" showRowStripes="1" showColumnStripes="0"/>
</table>
</file>

<file path=xl/tables/table5.xml><?xml version="1.0" encoding="utf-8"?>
<table xmlns="http://schemas.openxmlformats.org/spreadsheetml/2006/main" id="5" name="tbl_Taster" displayName="tbl_Taster" ref="C23:E30" totalsRowShown="0" headerRowDxfId="19" dataDxfId="18">
  <autoFilter ref="C23:E30">
    <filterColumn colId="0" hiddenButton="1"/>
    <filterColumn colId="1" hiddenButton="1"/>
    <filterColumn colId="2" hiddenButton="1"/>
  </autoFilter>
  <tableColumns count="3">
    <tableColumn id="1" name="Artikel" dataDxfId="17"/>
    <tableColumn id="7" name="Lochgröße" dataDxfId="16"/>
    <tableColumn id="8" name="LochID" dataDxfId="15"/>
  </tableColumns>
  <tableStyleInfo name="TableStyleMedium3" showFirstColumn="0" showLastColumn="0" showRowStripes="1" showColumnStripes="0"/>
</table>
</file>

<file path=xl/tables/table6.xml><?xml version="1.0" encoding="utf-8"?>
<table xmlns="http://schemas.openxmlformats.org/spreadsheetml/2006/main" id="3" name="tbl_Steckdosen" displayName="tbl_Steckdosen" ref="C2:K19" totalsRowShown="0" headerRowDxfId="14" dataDxfId="13">
  <autoFilter ref="C2:K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Artikel" dataDxfId="12"/>
    <tableColumn id="7" name="Lochgröße" dataDxfId="11"/>
    <tableColumn id="4" name="Typ" dataDxfId="10"/>
    <tableColumn id="2" name="Spannung" dataDxfId="9"/>
    <tableColumn id="3" name="Strom" dataDxfId="8"/>
    <tableColumn id="5" name="Pole" dataDxfId="7"/>
    <tableColumn id="6" name="Schutzgrad" dataDxfId="6"/>
    <tableColumn id="9" name="Merkmal" dataDxfId="5"/>
    <tableColumn id="8" name="LochID" dataDxfId="4"/>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1.xml"/><Relationship Id="rId18" Type="http://schemas.openxmlformats.org/officeDocument/2006/relationships/ctrlProp" Target="../ctrlProps/ctrlProp2.xml"/><Relationship Id="rId26" Type="http://schemas.openxmlformats.org/officeDocument/2006/relationships/ctrlProp" Target="../ctrlProps/ctrlProp10.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5.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1.xml"/><Relationship Id="rId25" Type="http://schemas.openxmlformats.org/officeDocument/2006/relationships/ctrlProp" Target="../ctrlProps/ctrlProp9.xml"/><Relationship Id="rId33" Type="http://schemas.openxmlformats.org/officeDocument/2006/relationships/table" Target="../tables/table4.xml"/><Relationship Id="rId2" Type="http://schemas.openxmlformats.org/officeDocument/2006/relationships/hyperlink" Target="https://www.mennekes.de/produkt-details/anbausteckdose-mit-twincontact-3008" TargetMode="External"/><Relationship Id="rId16" Type="http://schemas.openxmlformats.org/officeDocument/2006/relationships/image" Target="../media/image1.emf"/><Relationship Id="rId20" Type="http://schemas.openxmlformats.org/officeDocument/2006/relationships/ctrlProp" Target="../ctrlProps/ctrlProp4.xml"/><Relationship Id="rId29" Type="http://schemas.openxmlformats.org/officeDocument/2006/relationships/ctrlProp" Target="../ctrlProps/ctrlProp13.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8.xml"/><Relationship Id="rId32" Type="http://schemas.openxmlformats.org/officeDocument/2006/relationships/table" Target="../tables/table3.xml"/><Relationship Id="rId5" Type="http://schemas.openxmlformats.org/officeDocument/2006/relationships/hyperlink" Target="https://www.mennekes.de/produkt-details/anbausteckdose-21160a" TargetMode="External"/><Relationship Id="rId15" Type="http://schemas.openxmlformats.org/officeDocument/2006/relationships/control" Target="../activeX/activeX1.xml"/><Relationship Id="rId23" Type="http://schemas.openxmlformats.org/officeDocument/2006/relationships/ctrlProp" Target="../ctrlProps/ctrlProp7.xml"/><Relationship Id="rId28" Type="http://schemas.openxmlformats.org/officeDocument/2006/relationships/ctrlProp" Target="../ctrlProps/ctrlProp12.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3.xml"/><Relationship Id="rId31" Type="http://schemas.openxmlformats.org/officeDocument/2006/relationships/table" Target="../tables/table2.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6.xml"/><Relationship Id="rId27" Type="http://schemas.openxmlformats.org/officeDocument/2006/relationships/ctrlProp" Target="../ctrlProps/ctrlProp11.xml"/><Relationship Id="rId30"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O32"/>
  <sheetViews>
    <sheetView zoomScaleNormal="100" workbookViewId="0">
      <selection activeCell="E9" sqref="E9:J9"/>
    </sheetView>
  </sheetViews>
  <sheetFormatPr baseColWidth="10" defaultRowHeight="15" x14ac:dyDescent="0.25"/>
  <cols>
    <col min="2" max="2" width="18" customWidth="1"/>
    <col min="3" max="3" width="26.42578125" customWidth="1"/>
    <col min="4" max="4" width="9.7109375" customWidth="1"/>
    <col min="5" max="5" width="13.140625" customWidth="1"/>
    <col min="6" max="6" width="16" customWidth="1"/>
    <col min="7" max="7" width="11" customWidth="1"/>
    <col min="8" max="8" width="11.5703125" customWidth="1"/>
    <col min="9" max="9" width="16.7109375" customWidth="1"/>
    <col min="10" max="10" width="17" customWidth="1"/>
    <col min="11" max="11" width="12.7109375" customWidth="1"/>
    <col min="12" max="12" width="9" customWidth="1"/>
    <col min="13" max="13" width="20.42578125" customWidth="1"/>
    <col min="14" max="14" width="12.7109375" customWidth="1"/>
  </cols>
  <sheetData>
    <row r="1" spans="1:15" x14ac:dyDescent="0.25">
      <c r="A1" s="22"/>
      <c r="B1" s="22"/>
      <c r="C1" s="22"/>
      <c r="D1" s="22"/>
      <c r="E1" s="22"/>
      <c r="F1" s="22"/>
      <c r="G1" s="22"/>
      <c r="H1" s="22"/>
      <c r="I1" s="22"/>
      <c r="J1" s="22"/>
      <c r="K1" s="22"/>
      <c r="L1" s="22"/>
      <c r="M1" s="22"/>
      <c r="N1" s="22"/>
      <c r="O1" s="22"/>
    </row>
    <row r="2" spans="1:15" ht="15.75" thickBot="1" x14ac:dyDescent="0.3">
      <c r="A2" s="22"/>
      <c r="B2" s="24"/>
      <c r="C2" s="22"/>
      <c r="D2" s="22"/>
      <c r="E2" s="22"/>
      <c r="F2" s="22"/>
      <c r="G2" s="22"/>
      <c r="H2" s="22"/>
      <c r="I2" s="22"/>
      <c r="J2" s="22"/>
      <c r="K2" s="22"/>
      <c r="L2" s="22"/>
      <c r="M2" s="22"/>
      <c r="N2" s="22"/>
      <c r="O2" s="22"/>
    </row>
    <row r="3" spans="1:15" s="39" customFormat="1" ht="30" customHeight="1" thickBot="1" x14ac:dyDescent="0.3">
      <c r="A3" s="23"/>
      <c r="B3" s="37"/>
      <c r="C3" s="42" t="s">
        <v>6</v>
      </c>
      <c r="D3" s="43" t="s">
        <v>12</v>
      </c>
      <c r="E3" s="44" t="s">
        <v>4</v>
      </c>
      <c r="F3" s="44" t="s">
        <v>0</v>
      </c>
      <c r="G3" s="44" t="s">
        <v>1</v>
      </c>
      <c r="H3" s="44" t="s">
        <v>2</v>
      </c>
      <c r="I3" s="44" t="s">
        <v>3</v>
      </c>
      <c r="J3" s="44" t="s">
        <v>50</v>
      </c>
      <c r="K3" s="45" t="s">
        <v>54</v>
      </c>
      <c r="L3" s="46"/>
      <c r="M3" s="38" t="s">
        <v>61</v>
      </c>
      <c r="N3" s="38" t="s">
        <v>54</v>
      </c>
      <c r="O3" s="23"/>
    </row>
    <row r="4" spans="1:15" s="11" customFormat="1" ht="30" customHeight="1" x14ac:dyDescent="0.25">
      <c r="A4" s="23"/>
      <c r="B4" s="56" t="s">
        <v>10</v>
      </c>
      <c r="C4" s="35" t="s">
        <v>45</v>
      </c>
      <c r="D4" s="29" t="s">
        <v>12</v>
      </c>
      <c r="E4" s="32" t="s">
        <v>11</v>
      </c>
      <c r="F4" s="13" t="s">
        <v>5</v>
      </c>
      <c r="G4" s="13" t="s">
        <v>7</v>
      </c>
      <c r="H4" s="13" t="s">
        <v>42</v>
      </c>
      <c r="I4" s="13" t="s">
        <v>10</v>
      </c>
      <c r="J4" s="12" t="s">
        <v>51</v>
      </c>
      <c r="K4" s="15">
        <v>0</v>
      </c>
      <c r="L4" s="40"/>
      <c r="M4" s="27" t="s">
        <v>60</v>
      </c>
      <c r="N4" s="13">
        <v>1</v>
      </c>
      <c r="O4" s="23"/>
    </row>
    <row r="5" spans="1:15" s="11" customFormat="1" ht="30" customHeight="1" x14ac:dyDescent="0.25">
      <c r="A5" s="23"/>
      <c r="B5" s="57"/>
      <c r="C5" s="35" t="s">
        <v>47</v>
      </c>
      <c r="D5" s="29" t="s">
        <v>12</v>
      </c>
      <c r="E5" s="32" t="s">
        <v>11</v>
      </c>
      <c r="F5" s="13" t="s">
        <v>13</v>
      </c>
      <c r="G5" s="13" t="s">
        <v>14</v>
      </c>
      <c r="H5" s="13" t="s">
        <v>43</v>
      </c>
      <c r="I5" s="13" t="s">
        <v>10</v>
      </c>
      <c r="J5" s="12" t="s">
        <v>51</v>
      </c>
      <c r="K5" s="15">
        <v>0</v>
      </c>
      <c r="L5" s="40"/>
      <c r="M5" s="23"/>
      <c r="N5" s="23"/>
      <c r="O5" s="23"/>
    </row>
    <row r="6" spans="1:15" s="11" customFormat="1" ht="30" customHeight="1" thickBot="1" x14ac:dyDescent="0.4">
      <c r="A6" s="23"/>
      <c r="B6" s="57"/>
      <c r="C6" s="35" t="s">
        <v>49</v>
      </c>
      <c r="D6" s="29" t="s">
        <v>12</v>
      </c>
      <c r="E6" s="32" t="s">
        <v>11</v>
      </c>
      <c r="F6" s="13" t="s">
        <v>13</v>
      </c>
      <c r="G6" s="13" t="s">
        <v>15</v>
      </c>
      <c r="H6" s="13" t="s">
        <v>42</v>
      </c>
      <c r="I6" s="13" t="s">
        <v>10</v>
      </c>
      <c r="J6" s="12" t="s">
        <v>52</v>
      </c>
      <c r="K6" s="15">
        <v>0</v>
      </c>
      <c r="L6" s="40"/>
      <c r="M6" s="47" t="s">
        <v>61</v>
      </c>
      <c r="N6" s="47" t="s">
        <v>54</v>
      </c>
      <c r="O6" s="23"/>
    </row>
    <row r="7" spans="1:15" s="11" customFormat="1" ht="30" customHeight="1" x14ac:dyDescent="0.25">
      <c r="A7" s="23"/>
      <c r="B7" s="57"/>
      <c r="C7" s="35" t="s">
        <v>46</v>
      </c>
      <c r="D7" s="29" t="s">
        <v>12</v>
      </c>
      <c r="E7" s="32" t="s">
        <v>11</v>
      </c>
      <c r="F7" s="13" t="s">
        <v>5</v>
      </c>
      <c r="G7" s="13" t="s">
        <v>7</v>
      </c>
      <c r="H7" s="13" t="s">
        <v>42</v>
      </c>
      <c r="I7" s="13" t="s">
        <v>10</v>
      </c>
      <c r="J7" s="12" t="s">
        <v>52</v>
      </c>
      <c r="K7" s="14">
        <v>0</v>
      </c>
      <c r="L7" s="40"/>
      <c r="M7" s="27" t="s">
        <v>41</v>
      </c>
      <c r="N7" s="26">
        <v>0</v>
      </c>
      <c r="O7" s="23"/>
    </row>
    <row r="8" spans="1:15" s="11" customFormat="1" ht="30" customHeight="1" x14ac:dyDescent="0.25">
      <c r="A8" s="23"/>
      <c r="B8" s="57"/>
      <c r="C8" s="35" t="s">
        <v>48</v>
      </c>
      <c r="D8" s="29" t="s">
        <v>12</v>
      </c>
      <c r="E8" s="32" t="s">
        <v>11</v>
      </c>
      <c r="F8" s="13" t="s">
        <v>13</v>
      </c>
      <c r="G8" s="13" t="s">
        <v>14</v>
      </c>
      <c r="H8" s="13" t="s">
        <v>43</v>
      </c>
      <c r="I8" s="13" t="s">
        <v>10</v>
      </c>
      <c r="J8" s="12" t="s">
        <v>52</v>
      </c>
      <c r="K8" s="15">
        <v>0</v>
      </c>
      <c r="L8" s="40"/>
      <c r="M8" s="23"/>
      <c r="N8" s="23"/>
      <c r="O8" s="23"/>
    </row>
    <row r="9" spans="1:15" s="11" customFormat="1" ht="30" customHeight="1" thickBot="1" x14ac:dyDescent="0.3">
      <c r="A9" s="23"/>
      <c r="B9" s="41"/>
      <c r="C9" s="35" t="s">
        <v>64</v>
      </c>
      <c r="D9" s="29" t="s">
        <v>12</v>
      </c>
      <c r="E9" s="32" t="s">
        <v>11</v>
      </c>
      <c r="F9" s="13" t="s">
        <v>13</v>
      </c>
      <c r="G9" s="13" t="s">
        <v>7</v>
      </c>
      <c r="H9" s="13" t="s">
        <v>43</v>
      </c>
      <c r="I9" s="13" t="s">
        <v>10</v>
      </c>
      <c r="J9" s="12" t="s">
        <v>52</v>
      </c>
      <c r="K9" s="15">
        <v>0</v>
      </c>
      <c r="L9" s="40"/>
      <c r="M9" s="23"/>
      <c r="N9" s="23"/>
      <c r="O9" s="23"/>
    </row>
    <row r="10" spans="1:15" s="11" customFormat="1" ht="30" customHeight="1" thickBot="1" x14ac:dyDescent="0.3">
      <c r="A10" s="23"/>
      <c r="B10" s="58" t="s">
        <v>8</v>
      </c>
      <c r="C10" s="34" t="s">
        <v>44</v>
      </c>
      <c r="D10" s="28" t="s">
        <v>12</v>
      </c>
      <c r="E10" s="31" t="s">
        <v>9</v>
      </c>
      <c r="F10" s="20" t="s">
        <v>5</v>
      </c>
      <c r="G10" s="20" t="s">
        <v>7</v>
      </c>
      <c r="H10" s="20" t="s">
        <v>42</v>
      </c>
      <c r="I10" s="20" t="s">
        <v>8</v>
      </c>
      <c r="J10" s="19" t="s">
        <v>51</v>
      </c>
      <c r="K10" s="25">
        <v>0</v>
      </c>
      <c r="L10" s="40"/>
      <c r="M10" s="23"/>
      <c r="N10" s="23"/>
      <c r="O10" s="23"/>
    </row>
    <row r="11" spans="1:15" s="11" customFormat="1" ht="30" customHeight="1" x14ac:dyDescent="0.25">
      <c r="A11" s="23"/>
      <c r="B11" s="59"/>
      <c r="C11" s="34" t="s">
        <v>55</v>
      </c>
      <c r="D11" s="28" t="s">
        <v>12</v>
      </c>
      <c r="E11" s="31" t="s">
        <v>11</v>
      </c>
      <c r="F11" s="20" t="s">
        <v>5</v>
      </c>
      <c r="G11" s="20" t="s">
        <v>7</v>
      </c>
      <c r="H11" s="20" t="s">
        <v>42</v>
      </c>
      <c r="I11" s="20" t="s">
        <v>56</v>
      </c>
      <c r="J11" s="19" t="s">
        <v>52</v>
      </c>
      <c r="K11" s="21">
        <v>0</v>
      </c>
      <c r="L11" s="40"/>
      <c r="M11" s="23"/>
      <c r="N11" s="23"/>
      <c r="O11" s="23"/>
    </row>
    <row r="12" spans="1:15" s="11" customFormat="1" ht="30" customHeight="1" x14ac:dyDescent="0.25">
      <c r="A12" s="23"/>
      <c r="B12" s="59"/>
      <c r="C12" s="35" t="s">
        <v>57</v>
      </c>
      <c r="D12" s="29" t="s">
        <v>12</v>
      </c>
      <c r="E12" s="32" t="s">
        <v>11</v>
      </c>
      <c r="F12" s="13" t="s">
        <v>13</v>
      </c>
      <c r="G12" s="13" t="s">
        <v>7</v>
      </c>
      <c r="H12" s="13" t="s">
        <v>43</v>
      </c>
      <c r="I12" s="13" t="s">
        <v>56</v>
      </c>
      <c r="J12" s="12" t="s">
        <v>52</v>
      </c>
      <c r="K12" s="15">
        <v>0</v>
      </c>
      <c r="L12" s="40"/>
      <c r="M12" s="23"/>
      <c r="N12" s="23"/>
      <c r="O12" s="23"/>
    </row>
    <row r="13" spans="1:15" s="11" customFormat="1" ht="30" customHeight="1" x14ac:dyDescent="0.25">
      <c r="A13" s="23"/>
      <c r="B13" s="59"/>
      <c r="C13" s="35" t="s">
        <v>58</v>
      </c>
      <c r="D13" s="29" t="s">
        <v>12</v>
      </c>
      <c r="E13" s="32" t="s">
        <v>11</v>
      </c>
      <c r="F13" s="13" t="s">
        <v>13</v>
      </c>
      <c r="G13" s="13" t="s">
        <v>14</v>
      </c>
      <c r="H13" s="13" t="s">
        <v>43</v>
      </c>
      <c r="I13" s="13" t="s">
        <v>56</v>
      </c>
      <c r="J13" s="12" t="s">
        <v>52</v>
      </c>
      <c r="K13" s="15">
        <v>0</v>
      </c>
      <c r="L13" s="40"/>
      <c r="M13" s="23"/>
      <c r="N13" s="23"/>
      <c r="O13" s="23"/>
    </row>
    <row r="14" spans="1:15" s="11" customFormat="1" ht="30" customHeight="1" thickBot="1" x14ac:dyDescent="0.3">
      <c r="A14" s="23"/>
      <c r="B14" s="60"/>
      <c r="C14" s="36" t="s">
        <v>59</v>
      </c>
      <c r="D14" s="30" t="s">
        <v>12</v>
      </c>
      <c r="E14" s="33" t="s">
        <v>11</v>
      </c>
      <c r="F14" s="17" t="s">
        <v>13</v>
      </c>
      <c r="G14" s="17" t="s">
        <v>15</v>
      </c>
      <c r="H14" s="17" t="s">
        <v>43</v>
      </c>
      <c r="I14" s="17" t="s">
        <v>56</v>
      </c>
      <c r="J14" s="16" t="s">
        <v>52</v>
      </c>
      <c r="K14" s="18">
        <v>0</v>
      </c>
      <c r="L14" s="40"/>
      <c r="M14" s="23"/>
      <c r="N14" s="23"/>
      <c r="O14" s="23"/>
    </row>
    <row r="15" spans="1:15" s="11" customFormat="1" ht="30" customHeight="1" x14ac:dyDescent="0.25">
      <c r="A15" s="23"/>
      <c r="B15" s="23"/>
      <c r="C15" s="23"/>
      <c r="D15" s="23"/>
      <c r="E15" s="23"/>
      <c r="F15" s="23"/>
      <c r="G15" s="23"/>
      <c r="H15" s="23"/>
      <c r="I15" s="23"/>
      <c r="J15" s="23"/>
      <c r="K15" s="23"/>
      <c r="L15" s="23"/>
      <c r="M15" s="23"/>
      <c r="N15" s="23"/>
      <c r="O15" s="23"/>
    </row>
    <row r="16" spans="1:15" x14ac:dyDescent="0.25">
      <c r="A16" s="22"/>
      <c r="B16" s="22"/>
      <c r="C16" s="22"/>
      <c r="D16" s="22"/>
      <c r="E16" s="22"/>
      <c r="F16" s="22"/>
      <c r="G16" s="22"/>
      <c r="H16" s="22"/>
      <c r="I16" s="22"/>
      <c r="J16" s="22"/>
      <c r="K16" s="22"/>
      <c r="L16" s="22"/>
      <c r="M16" s="22"/>
      <c r="N16" s="22"/>
      <c r="O16" s="22"/>
    </row>
    <row r="17" spans="1:15" x14ac:dyDescent="0.25">
      <c r="A17" s="22"/>
      <c r="B17" s="22"/>
      <c r="C17" s="22"/>
      <c r="D17" s="22"/>
      <c r="E17" s="22"/>
      <c r="F17" s="22"/>
      <c r="G17" s="22"/>
      <c r="H17" s="22"/>
      <c r="I17" s="22"/>
      <c r="J17" s="22"/>
      <c r="K17" s="22"/>
      <c r="L17" s="22"/>
      <c r="M17" s="22"/>
      <c r="N17" s="22"/>
      <c r="O17" s="22"/>
    </row>
    <row r="18" spans="1:15" x14ac:dyDescent="0.25">
      <c r="A18" s="22"/>
      <c r="B18" s="22"/>
      <c r="C18" s="22"/>
      <c r="D18" s="22"/>
      <c r="E18" s="22"/>
      <c r="F18" s="22"/>
      <c r="G18" s="22"/>
      <c r="H18" s="22"/>
      <c r="I18" s="22"/>
      <c r="J18" s="22"/>
      <c r="K18" s="22"/>
      <c r="L18" s="22"/>
      <c r="M18" s="22"/>
      <c r="N18" s="22"/>
      <c r="O18" s="22"/>
    </row>
    <row r="19" spans="1:15" x14ac:dyDescent="0.25">
      <c r="A19" s="22"/>
      <c r="B19" s="22"/>
      <c r="C19" s="22"/>
      <c r="D19" s="22"/>
      <c r="E19" s="22"/>
      <c r="F19" s="22"/>
      <c r="G19" s="22"/>
      <c r="H19" s="22"/>
      <c r="I19" s="22"/>
      <c r="J19" s="22"/>
      <c r="K19" s="22"/>
      <c r="L19" s="22"/>
      <c r="M19" s="22"/>
      <c r="N19" s="22"/>
      <c r="O19" s="22"/>
    </row>
    <row r="20" spans="1:15" x14ac:dyDescent="0.25">
      <c r="A20" s="22"/>
      <c r="B20" s="22"/>
      <c r="C20" s="7" t="s">
        <v>53</v>
      </c>
      <c r="D20" s="22"/>
      <c r="E20" s="22"/>
      <c r="F20" s="22"/>
      <c r="G20" s="22"/>
      <c r="H20" s="22"/>
      <c r="I20" s="22"/>
      <c r="J20" s="22"/>
      <c r="K20" s="22"/>
      <c r="L20" s="22"/>
      <c r="M20" s="22"/>
      <c r="N20" s="22"/>
      <c r="O20" s="22"/>
    </row>
    <row r="21" spans="1:15" x14ac:dyDescent="0.25">
      <c r="A21" s="22"/>
      <c r="B21" s="22"/>
      <c r="C21" s="8" t="s">
        <v>24</v>
      </c>
      <c r="D21" s="22"/>
      <c r="E21" s="22"/>
      <c r="F21" s="22"/>
      <c r="G21" s="22"/>
      <c r="H21" s="22"/>
      <c r="I21" s="22"/>
      <c r="J21" s="22"/>
      <c r="K21" s="22"/>
      <c r="L21" s="22"/>
      <c r="M21" s="22"/>
      <c r="N21" s="22"/>
      <c r="O21" s="22"/>
    </row>
    <row r="22" spans="1:15" x14ac:dyDescent="0.25">
      <c r="A22" s="22"/>
      <c r="B22" s="22"/>
      <c r="C22" s="8" t="s">
        <v>23</v>
      </c>
      <c r="D22" s="22"/>
      <c r="E22" s="22"/>
      <c r="F22" s="22"/>
      <c r="G22" s="22"/>
      <c r="H22" s="22"/>
      <c r="I22" s="22"/>
      <c r="J22" s="22"/>
      <c r="K22" s="22"/>
      <c r="L22" s="22"/>
      <c r="M22" s="22"/>
      <c r="N22" s="22"/>
      <c r="O22" s="22"/>
    </row>
    <row r="23" spans="1:15" x14ac:dyDescent="0.25">
      <c r="A23" s="22"/>
      <c r="B23" s="22"/>
      <c r="C23" s="8" t="s">
        <v>22</v>
      </c>
      <c r="D23" s="22"/>
      <c r="E23" s="22"/>
      <c r="F23" s="22"/>
      <c r="G23" s="22"/>
      <c r="H23" s="22"/>
      <c r="I23" s="22"/>
      <c r="J23" s="22"/>
      <c r="K23" s="22"/>
      <c r="L23" s="22"/>
      <c r="M23" s="22"/>
      <c r="N23" s="22"/>
      <c r="O23" s="22"/>
    </row>
    <row r="24" spans="1:15" x14ac:dyDescent="0.25">
      <c r="A24" s="22"/>
      <c r="B24" s="22"/>
      <c r="C24" s="8" t="s">
        <v>21</v>
      </c>
      <c r="D24" s="22"/>
      <c r="E24" s="22"/>
      <c r="F24" s="22"/>
      <c r="G24" s="22"/>
      <c r="H24" s="22"/>
      <c r="I24" s="22"/>
      <c r="J24" s="22"/>
      <c r="K24" s="22"/>
      <c r="L24" s="22"/>
      <c r="M24" s="22"/>
      <c r="N24" s="22"/>
      <c r="O24" s="22"/>
    </row>
    <row r="25" spans="1:15" x14ac:dyDescent="0.25">
      <c r="A25" s="22"/>
      <c r="B25" s="22"/>
      <c r="C25" s="8" t="s">
        <v>20</v>
      </c>
      <c r="D25" s="22"/>
      <c r="E25" s="22"/>
      <c r="F25" s="22"/>
      <c r="G25" s="22"/>
      <c r="H25" s="22"/>
      <c r="I25" s="22"/>
      <c r="J25" s="22"/>
      <c r="K25" s="22"/>
      <c r="L25" s="22"/>
      <c r="M25" s="22"/>
      <c r="N25" s="22"/>
      <c r="O25" s="22"/>
    </row>
    <row r="26" spans="1:15" x14ac:dyDescent="0.25">
      <c r="A26" s="22"/>
      <c r="B26" s="22"/>
      <c r="C26" s="8" t="s">
        <v>19</v>
      </c>
      <c r="D26" s="22"/>
      <c r="E26" s="22"/>
      <c r="F26" s="22"/>
      <c r="G26" s="22"/>
      <c r="H26" s="22"/>
      <c r="I26" s="22"/>
      <c r="J26" s="22"/>
      <c r="K26" s="22"/>
      <c r="L26" s="22"/>
      <c r="M26" s="22"/>
      <c r="N26" s="22"/>
      <c r="O26" s="22"/>
    </row>
    <row r="27" spans="1:15" x14ac:dyDescent="0.25">
      <c r="A27" s="22"/>
      <c r="B27" s="22"/>
      <c r="C27" s="8" t="s">
        <v>18</v>
      </c>
      <c r="D27" s="22"/>
      <c r="E27" s="22"/>
      <c r="F27" s="22"/>
      <c r="G27" s="22"/>
      <c r="H27" s="22"/>
      <c r="I27" s="22"/>
      <c r="J27" s="22"/>
      <c r="K27" s="22"/>
      <c r="L27" s="22"/>
      <c r="M27" s="22"/>
      <c r="N27" s="22"/>
      <c r="O27" s="22"/>
    </row>
    <row r="28" spans="1:15" x14ac:dyDescent="0.25">
      <c r="A28" s="22"/>
      <c r="B28" s="22"/>
      <c r="C28" s="8" t="s">
        <v>17</v>
      </c>
      <c r="D28" s="22"/>
      <c r="E28" s="22"/>
      <c r="F28" s="22"/>
      <c r="G28" s="22"/>
      <c r="H28" s="22"/>
      <c r="I28" s="22"/>
      <c r="J28" s="22"/>
      <c r="K28" s="22"/>
      <c r="L28" s="22"/>
      <c r="M28" s="22"/>
      <c r="N28" s="22"/>
      <c r="O28" s="22"/>
    </row>
    <row r="29" spans="1:15" x14ac:dyDescent="0.25">
      <c r="A29" s="22"/>
      <c r="B29" s="22"/>
      <c r="C29" s="8" t="s">
        <v>16</v>
      </c>
      <c r="D29" s="22"/>
      <c r="E29" s="22"/>
      <c r="F29" s="22"/>
      <c r="G29" s="22"/>
      <c r="H29" s="22"/>
      <c r="I29" s="22"/>
      <c r="J29" s="22"/>
      <c r="K29" s="22"/>
      <c r="L29" s="22"/>
      <c r="M29" s="22"/>
      <c r="N29" s="22"/>
      <c r="O29" s="22"/>
    </row>
    <row r="30" spans="1:15" x14ac:dyDescent="0.25">
      <c r="A30" s="22"/>
      <c r="B30" s="22"/>
      <c r="C30" s="8" t="s">
        <v>63</v>
      </c>
      <c r="D30" s="22"/>
      <c r="E30" s="22"/>
      <c r="F30" s="22"/>
      <c r="G30" s="22"/>
      <c r="H30" s="22"/>
      <c r="I30" s="22"/>
      <c r="J30" s="22"/>
      <c r="K30" s="22"/>
      <c r="L30" s="22"/>
      <c r="M30" s="22"/>
      <c r="N30" s="22"/>
      <c r="O30" s="22"/>
    </row>
    <row r="31" spans="1:15" x14ac:dyDescent="0.25">
      <c r="A31" s="22"/>
      <c r="B31" s="22"/>
      <c r="C31" s="22"/>
      <c r="D31" s="22"/>
      <c r="E31" s="22"/>
      <c r="F31" s="22"/>
      <c r="G31" s="22"/>
      <c r="H31" s="22"/>
      <c r="I31" s="22"/>
      <c r="J31" s="22"/>
      <c r="K31" s="22"/>
      <c r="L31" s="22"/>
      <c r="M31" s="22"/>
      <c r="N31" s="22"/>
      <c r="O31" s="22"/>
    </row>
    <row r="32" spans="1:15" x14ac:dyDescent="0.25">
      <c r="A32" s="22"/>
      <c r="B32" s="22"/>
      <c r="C32" s="22"/>
      <c r="D32" s="22"/>
      <c r="E32" s="22"/>
      <c r="F32" s="22"/>
      <c r="G32" s="22"/>
      <c r="H32" s="22"/>
      <c r="I32" s="22"/>
      <c r="J32" s="22"/>
      <c r="K32" s="22"/>
      <c r="L32" s="22"/>
      <c r="M32" s="22"/>
      <c r="N32" s="22"/>
      <c r="O32" s="22"/>
    </row>
  </sheetData>
  <mergeCells count="2">
    <mergeCell ref="B4:B8"/>
    <mergeCell ref="B10:B14"/>
  </mergeCells>
  <dataValidations count="1">
    <dataValidation type="whole" errorStyle="information" allowBlank="1" showInputMessage="1" showErrorMessage="1" error="max 4 Stück" prompt="max 4 Stück" sqref="N7 K4:K15">
      <formula1>0</formula1>
      <formula2>4</formula2>
    </dataValidation>
  </dataValidations>
  <hyperlinks>
    <hyperlink ref="D4" r:id="rId1"/>
    <hyperlink ref="D7" r:id="rId2"/>
    <hyperlink ref="D5" r:id="rId3"/>
    <hyperlink ref="D8" r:id="rId4"/>
    <hyperlink ref="D6" r:id="rId5"/>
    <hyperlink ref="D11" r:id="rId6"/>
    <hyperlink ref="D12" r:id="rId7"/>
    <hyperlink ref="D13" r:id="rId8"/>
    <hyperlink ref="D14" r:id="rId9"/>
    <hyperlink ref="D10" r:id="rId10"/>
    <hyperlink ref="D9" r:id="rId11"/>
  </hyperlinks>
  <pageMargins left="0.7" right="0.7" top="0.78740157499999996" bottom="0.78740157499999996" header="0.3" footer="0.3"/>
  <pageSetup paperSize="9" orientation="portrait" r:id="rId12"/>
  <drawing r:id="rId13"/>
  <legacyDrawing r:id="rId14"/>
  <controls>
    <mc:AlternateContent xmlns:mc="http://schemas.openxmlformats.org/markup-compatibility/2006">
      <mc:Choice Requires="x14">
        <control shapeId="1043" r:id="rId15" name="CommandButton1">
          <controlPr defaultSize="0" autoLine="0" r:id="rId16">
            <anchor moveWithCells="1">
              <from>
                <xdr:col>12</xdr:col>
                <xdr:colOff>123825</xdr:colOff>
                <xdr:row>8</xdr:row>
                <xdr:rowOff>19050</xdr:rowOff>
              </from>
              <to>
                <xdr:col>13</xdr:col>
                <xdr:colOff>476250</xdr:colOff>
                <xdr:row>10</xdr:row>
                <xdr:rowOff>28575</xdr:rowOff>
              </to>
            </anchor>
          </controlPr>
        </control>
      </mc:Choice>
      <mc:Fallback>
        <control shapeId="1043" r:id="rId15" name="CommandButton1"/>
      </mc:Fallback>
    </mc:AlternateContent>
    <mc:AlternateContent xmlns:mc="http://schemas.openxmlformats.org/markup-compatibility/2006">
      <mc:Choice Requires="x14">
        <control shapeId="1026" r:id="rId17" name="Spinner 2">
          <controlPr defaultSize="0" autoPict="0">
            <anchor moveWithCells="1" sizeWithCells="1">
              <from>
                <xdr:col>10</xdr:col>
                <xdr:colOff>676275</xdr:colOff>
                <xdr:row>3</xdr:row>
                <xdr:rowOff>38100</xdr:rowOff>
              </from>
              <to>
                <xdr:col>10</xdr:col>
                <xdr:colOff>819150</xdr:colOff>
                <xdr:row>3</xdr:row>
                <xdr:rowOff>333375</xdr:rowOff>
              </to>
            </anchor>
          </controlPr>
        </control>
      </mc:Choice>
    </mc:AlternateContent>
    <mc:AlternateContent xmlns:mc="http://schemas.openxmlformats.org/markup-compatibility/2006">
      <mc:Choice Requires="x14">
        <control shapeId="1027" r:id="rId18" name="Spinner 3">
          <controlPr defaultSize="0" autoPict="0">
            <anchor moveWithCells="1" sizeWithCells="1">
              <from>
                <xdr:col>10</xdr:col>
                <xdr:colOff>676275</xdr:colOff>
                <xdr:row>4</xdr:row>
                <xdr:rowOff>38100</xdr:rowOff>
              </from>
              <to>
                <xdr:col>10</xdr:col>
                <xdr:colOff>819150</xdr:colOff>
                <xdr:row>4</xdr:row>
                <xdr:rowOff>323850</xdr:rowOff>
              </to>
            </anchor>
          </controlPr>
        </control>
      </mc:Choice>
    </mc:AlternateContent>
    <mc:AlternateContent xmlns:mc="http://schemas.openxmlformats.org/markup-compatibility/2006">
      <mc:Choice Requires="x14">
        <control shapeId="1028" r:id="rId19" name="Spinner 4">
          <controlPr defaultSize="0" autoPict="0">
            <anchor moveWithCells="1" sizeWithCells="1">
              <from>
                <xdr:col>10</xdr:col>
                <xdr:colOff>676275</xdr:colOff>
                <xdr:row>5</xdr:row>
                <xdr:rowOff>38100</xdr:rowOff>
              </from>
              <to>
                <xdr:col>10</xdr:col>
                <xdr:colOff>819150</xdr:colOff>
                <xdr:row>5</xdr:row>
                <xdr:rowOff>333375</xdr:rowOff>
              </to>
            </anchor>
          </controlPr>
        </control>
      </mc:Choice>
    </mc:AlternateContent>
    <mc:AlternateContent xmlns:mc="http://schemas.openxmlformats.org/markup-compatibility/2006">
      <mc:Choice Requires="x14">
        <control shapeId="1029" r:id="rId20" name="Spinner 5">
          <controlPr defaultSize="0" autoPict="0">
            <anchor moveWithCells="1" sizeWithCells="1">
              <from>
                <xdr:col>10</xdr:col>
                <xdr:colOff>676275</xdr:colOff>
                <xdr:row>6</xdr:row>
                <xdr:rowOff>38100</xdr:rowOff>
              </from>
              <to>
                <xdr:col>10</xdr:col>
                <xdr:colOff>828675</xdr:colOff>
                <xdr:row>6</xdr:row>
                <xdr:rowOff>323850</xdr:rowOff>
              </to>
            </anchor>
          </controlPr>
        </control>
      </mc:Choice>
    </mc:AlternateContent>
    <mc:AlternateContent xmlns:mc="http://schemas.openxmlformats.org/markup-compatibility/2006">
      <mc:Choice Requires="x14">
        <control shapeId="1030" r:id="rId21" name="Spinner 6">
          <controlPr defaultSize="0" autoPict="0">
            <anchor moveWithCells="1" sizeWithCells="1">
              <from>
                <xdr:col>10</xdr:col>
                <xdr:colOff>676275</xdr:colOff>
                <xdr:row>7</xdr:row>
                <xdr:rowOff>47625</xdr:rowOff>
              </from>
              <to>
                <xdr:col>10</xdr:col>
                <xdr:colOff>828675</xdr:colOff>
                <xdr:row>7</xdr:row>
                <xdr:rowOff>333375</xdr:rowOff>
              </to>
            </anchor>
          </controlPr>
        </control>
      </mc:Choice>
    </mc:AlternateContent>
    <mc:AlternateContent xmlns:mc="http://schemas.openxmlformats.org/markup-compatibility/2006">
      <mc:Choice Requires="x14">
        <control shapeId="1033" r:id="rId22" name="Spinner 9">
          <controlPr defaultSize="0" autoPict="0">
            <anchor moveWithCells="1" sizeWithCells="1">
              <from>
                <xdr:col>10</xdr:col>
                <xdr:colOff>676275</xdr:colOff>
                <xdr:row>10</xdr:row>
                <xdr:rowOff>47625</xdr:rowOff>
              </from>
              <to>
                <xdr:col>10</xdr:col>
                <xdr:colOff>819150</xdr:colOff>
                <xdr:row>10</xdr:row>
                <xdr:rowOff>333375</xdr:rowOff>
              </to>
            </anchor>
          </controlPr>
        </control>
      </mc:Choice>
    </mc:AlternateContent>
    <mc:AlternateContent xmlns:mc="http://schemas.openxmlformats.org/markup-compatibility/2006">
      <mc:Choice Requires="x14">
        <control shapeId="1035" r:id="rId23" name="Spinner 11">
          <controlPr defaultSize="0" autoPict="0">
            <anchor moveWithCells="1" sizeWithCells="1">
              <from>
                <xdr:col>10</xdr:col>
                <xdr:colOff>676275</xdr:colOff>
                <xdr:row>11</xdr:row>
                <xdr:rowOff>47625</xdr:rowOff>
              </from>
              <to>
                <xdr:col>10</xdr:col>
                <xdr:colOff>819150</xdr:colOff>
                <xdr:row>11</xdr:row>
                <xdr:rowOff>333375</xdr:rowOff>
              </to>
            </anchor>
          </controlPr>
        </control>
      </mc:Choice>
    </mc:AlternateContent>
    <mc:AlternateContent xmlns:mc="http://schemas.openxmlformats.org/markup-compatibility/2006">
      <mc:Choice Requires="x14">
        <control shapeId="1036" r:id="rId24" name="Spinner 12">
          <controlPr defaultSize="0" autoPict="0">
            <anchor moveWithCells="1" sizeWithCells="1">
              <from>
                <xdr:col>10</xdr:col>
                <xdr:colOff>676275</xdr:colOff>
                <xdr:row>12</xdr:row>
                <xdr:rowOff>47625</xdr:rowOff>
              </from>
              <to>
                <xdr:col>10</xdr:col>
                <xdr:colOff>819150</xdr:colOff>
                <xdr:row>12</xdr:row>
                <xdr:rowOff>333375</xdr:rowOff>
              </to>
            </anchor>
          </controlPr>
        </control>
      </mc:Choice>
    </mc:AlternateContent>
    <mc:AlternateContent xmlns:mc="http://schemas.openxmlformats.org/markup-compatibility/2006">
      <mc:Choice Requires="x14">
        <control shapeId="1037" r:id="rId25" name="Spinner 13">
          <controlPr defaultSize="0" autoPict="0">
            <anchor moveWithCells="1" sizeWithCells="1">
              <from>
                <xdr:col>10</xdr:col>
                <xdr:colOff>676275</xdr:colOff>
                <xdr:row>13</xdr:row>
                <xdr:rowOff>47625</xdr:rowOff>
              </from>
              <to>
                <xdr:col>10</xdr:col>
                <xdr:colOff>819150</xdr:colOff>
                <xdr:row>13</xdr:row>
                <xdr:rowOff>333375</xdr:rowOff>
              </to>
            </anchor>
          </controlPr>
        </control>
      </mc:Choice>
    </mc:AlternateContent>
    <mc:AlternateContent xmlns:mc="http://schemas.openxmlformats.org/markup-compatibility/2006">
      <mc:Choice Requires="x14">
        <control shapeId="1038" r:id="rId26" name="Spinner 14">
          <controlPr defaultSize="0" autoPict="0">
            <anchor moveWithCells="1" sizeWithCells="1">
              <from>
                <xdr:col>13</xdr:col>
                <xdr:colOff>676275</xdr:colOff>
                <xdr:row>3</xdr:row>
                <xdr:rowOff>47625</xdr:rowOff>
              </from>
              <to>
                <xdr:col>13</xdr:col>
                <xdr:colOff>819150</xdr:colOff>
                <xdr:row>3</xdr:row>
                <xdr:rowOff>333375</xdr:rowOff>
              </to>
            </anchor>
          </controlPr>
        </control>
      </mc:Choice>
    </mc:AlternateContent>
    <mc:AlternateContent xmlns:mc="http://schemas.openxmlformats.org/markup-compatibility/2006">
      <mc:Choice Requires="x14">
        <control shapeId="1039" r:id="rId27" name="Spinner 15">
          <controlPr defaultSize="0" autoPict="0">
            <anchor moveWithCells="1" sizeWithCells="1">
              <from>
                <xdr:col>10</xdr:col>
                <xdr:colOff>676275</xdr:colOff>
                <xdr:row>9</xdr:row>
                <xdr:rowOff>47625</xdr:rowOff>
              </from>
              <to>
                <xdr:col>10</xdr:col>
                <xdr:colOff>819150</xdr:colOff>
                <xdr:row>9</xdr:row>
                <xdr:rowOff>342900</xdr:rowOff>
              </to>
            </anchor>
          </controlPr>
        </control>
      </mc:Choice>
    </mc:AlternateContent>
    <mc:AlternateContent xmlns:mc="http://schemas.openxmlformats.org/markup-compatibility/2006">
      <mc:Choice Requires="x14">
        <control shapeId="1041" r:id="rId28" name="Spinner 17">
          <controlPr defaultSize="0" autoPict="0">
            <anchor moveWithCells="1" sizeWithCells="1">
              <from>
                <xdr:col>13</xdr:col>
                <xdr:colOff>676275</xdr:colOff>
                <xdr:row>6</xdr:row>
                <xdr:rowOff>47625</xdr:rowOff>
              </from>
              <to>
                <xdr:col>13</xdr:col>
                <xdr:colOff>819150</xdr:colOff>
                <xdr:row>6</xdr:row>
                <xdr:rowOff>333375</xdr:rowOff>
              </to>
            </anchor>
          </controlPr>
        </control>
      </mc:Choice>
    </mc:AlternateContent>
    <mc:AlternateContent xmlns:mc="http://schemas.openxmlformats.org/markup-compatibility/2006">
      <mc:Choice Requires="x14">
        <control shapeId="1042" r:id="rId29" name="Spinner 18">
          <controlPr defaultSize="0" autoPict="0">
            <anchor moveWithCells="1" sizeWithCells="1">
              <from>
                <xdr:col>10</xdr:col>
                <xdr:colOff>676275</xdr:colOff>
                <xdr:row>8</xdr:row>
                <xdr:rowOff>47625</xdr:rowOff>
              </from>
              <to>
                <xdr:col>10</xdr:col>
                <xdr:colOff>828675</xdr:colOff>
                <xdr:row>8</xdr:row>
                <xdr:rowOff>333375</xdr:rowOff>
              </to>
            </anchor>
          </controlPr>
        </control>
      </mc:Choice>
    </mc:AlternateContent>
  </controls>
  <tableParts count="4">
    <tablePart r:id="rId30"/>
    <tablePart r:id="rId31"/>
    <tablePart r:id="rId32"/>
    <tablePart r:id="rId33"/>
  </tableParts>
  <extLst>
    <ext xmlns:x14="http://schemas.microsoft.com/office/spreadsheetml/2009/9/main" uri="{78C0D931-6437-407d-A8EE-F0AAD7539E65}">
      <x14:conditionalFormattings>
        <x14:conditionalFormatting xmlns:xm="http://schemas.microsoft.com/office/excel/2006/main">
          <x14:cfRule type="expression" priority="3" id="{E691A256-DBCA-4C78-9984-55F6D6337FC4}">
            <xm:f>Frontblenden!$S$5="ok"</xm:f>
            <x14:dxf>
              <fill>
                <patternFill>
                  <bgColor rgb="FF72E51B"/>
                </patternFill>
              </fill>
            </x14:dxf>
          </x14:cfRule>
          <xm:sqref>C21</xm:sqref>
        </x14:conditionalFormatting>
        <x14:conditionalFormatting xmlns:xm="http://schemas.microsoft.com/office/excel/2006/main">
          <x14:cfRule type="expression" priority="13" id="{E691A256-DBCA-4C78-9984-55F6D6337FC4}">
            <xm:f>Frontblenden!$S$9="ok"</xm:f>
            <x14:dxf>
              <fill>
                <patternFill>
                  <bgColor rgb="FF72E51B"/>
                </patternFill>
              </fill>
            </x14:dxf>
          </x14:cfRule>
          <xm:sqref>C23</xm:sqref>
        </x14:conditionalFormatting>
        <x14:conditionalFormatting xmlns:xm="http://schemas.microsoft.com/office/excel/2006/main">
          <x14:cfRule type="expression" priority="17" id="{E691A256-DBCA-4C78-9984-55F6D6337FC4}">
            <xm:f>Frontblenden!$S$11="ok"</xm:f>
            <x14:dxf>
              <fill>
                <patternFill>
                  <bgColor rgb="FF72E51B"/>
                </patternFill>
              </fill>
            </x14:dxf>
          </x14:cfRule>
          <xm:sqref>C24</xm:sqref>
        </x14:conditionalFormatting>
        <x14:conditionalFormatting xmlns:xm="http://schemas.microsoft.com/office/excel/2006/main">
          <x14:cfRule type="expression" priority="22" id="{E691A256-DBCA-4C78-9984-55F6D6337FC4}">
            <xm:f>Frontblenden!$S$13="ok"</xm:f>
            <x14:dxf>
              <fill>
                <patternFill>
                  <bgColor rgb="FF72E51B"/>
                </patternFill>
              </fill>
            </x14:dxf>
          </x14:cfRule>
          <xm:sqref>C25</xm:sqref>
        </x14:conditionalFormatting>
        <x14:conditionalFormatting xmlns:xm="http://schemas.microsoft.com/office/excel/2006/main">
          <x14:cfRule type="expression" priority="28" id="{E691A256-DBCA-4C78-9984-55F6D6337FC4}">
            <xm:f>Frontblenden!$S$15="ok"</xm:f>
            <x14:dxf>
              <fill>
                <patternFill>
                  <bgColor rgb="FF72E51B"/>
                </patternFill>
              </fill>
            </x14:dxf>
          </x14:cfRule>
          <xm:sqref>C26</xm:sqref>
        </x14:conditionalFormatting>
        <x14:conditionalFormatting xmlns:xm="http://schemas.microsoft.com/office/excel/2006/main">
          <x14:cfRule type="expression" priority="35" id="{E691A256-DBCA-4C78-9984-55F6D6337FC4}">
            <xm:f>Frontblenden!$S$17="ok"</xm:f>
            <x14:dxf>
              <fill>
                <patternFill>
                  <bgColor rgb="FF72E51B"/>
                </patternFill>
              </fill>
            </x14:dxf>
          </x14:cfRule>
          <xm:sqref>C27</xm:sqref>
        </x14:conditionalFormatting>
        <x14:conditionalFormatting xmlns:xm="http://schemas.microsoft.com/office/excel/2006/main">
          <x14:cfRule type="expression" priority="43" id="{E691A256-DBCA-4C78-9984-55F6D6337FC4}">
            <xm:f>Frontblenden!$S$19="ok"</xm:f>
            <x14:dxf>
              <fill>
                <patternFill>
                  <bgColor rgb="FF72E51B"/>
                </patternFill>
              </fill>
            </x14:dxf>
          </x14:cfRule>
          <xm:sqref>C28</xm:sqref>
        </x14:conditionalFormatting>
        <x14:conditionalFormatting xmlns:xm="http://schemas.microsoft.com/office/excel/2006/main">
          <x14:cfRule type="expression" priority="52" id="{E691A256-DBCA-4C78-9984-55F6D6337FC4}">
            <xm:f>Frontblenden!$S$21="ok"</xm:f>
            <x14:dxf>
              <fill>
                <patternFill>
                  <bgColor rgb="FF72E51B"/>
                </patternFill>
              </fill>
            </x14:dxf>
          </x14:cfRule>
          <xm:sqref>C29</xm:sqref>
        </x14:conditionalFormatting>
        <x14:conditionalFormatting xmlns:xm="http://schemas.microsoft.com/office/excel/2006/main">
          <x14:cfRule type="expression" priority="2" id="{648B2AC6-FE98-48A7-861E-676EC5E8FF2B}">
            <xm:f>Frontblenden!$S$7="ok"</xm:f>
            <x14:dxf>
              <fill>
                <patternFill>
                  <bgColor rgb="FF72E51B"/>
                </patternFill>
              </fill>
            </x14:dxf>
          </x14:cfRule>
          <xm:sqref>C22</xm:sqref>
        </x14:conditionalFormatting>
        <x14:conditionalFormatting xmlns:xm="http://schemas.microsoft.com/office/excel/2006/main">
          <x14:cfRule type="expression" priority="1" id="{4F14F014-C9F3-4DD2-988C-239783255411}">
            <xm:f>Frontblenden!$S$23="ok"</xm:f>
            <x14:dxf>
              <fill>
                <patternFill>
                  <bgColor rgb="FF72E51B"/>
                </patternFill>
              </fill>
            </x14:dxf>
          </x14:cfRule>
          <xm:sqref>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K30"/>
  <sheetViews>
    <sheetView tabSelected="1" workbookViewId="0">
      <selection activeCell="N15" sqref="N15"/>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16.42578125" style="5" customWidth="1"/>
  </cols>
  <sheetData>
    <row r="2" spans="2:11" ht="15" customHeight="1" x14ac:dyDescent="0.25">
      <c r="B2" s="64" t="s">
        <v>33</v>
      </c>
      <c r="C2" s="53" t="s">
        <v>6</v>
      </c>
      <c r="D2" s="54" t="s">
        <v>25</v>
      </c>
      <c r="E2" s="55" t="s">
        <v>4</v>
      </c>
      <c r="F2" s="55" t="s">
        <v>0</v>
      </c>
      <c r="G2" s="55" t="s">
        <v>1</v>
      </c>
      <c r="H2" s="55" t="s">
        <v>2</v>
      </c>
      <c r="I2" s="55" t="s">
        <v>3</v>
      </c>
      <c r="J2" s="55" t="s">
        <v>65</v>
      </c>
      <c r="K2" s="53" t="s">
        <v>31</v>
      </c>
    </row>
    <row r="3" spans="2:11" ht="15" customHeight="1" x14ac:dyDescent="0.25">
      <c r="B3" s="65"/>
      <c r="C3" s="1" t="s">
        <v>44</v>
      </c>
      <c r="D3" s="5" t="s">
        <v>26</v>
      </c>
      <c r="E3" s="3" t="s">
        <v>9</v>
      </c>
      <c r="F3" s="3" t="s">
        <v>5</v>
      </c>
      <c r="G3" s="3" t="s">
        <v>7</v>
      </c>
      <c r="H3" s="3" t="s">
        <v>42</v>
      </c>
      <c r="I3" s="3" t="s">
        <v>8</v>
      </c>
      <c r="J3" s="3" t="s">
        <v>51</v>
      </c>
      <c r="K3" s="3" t="s">
        <v>35</v>
      </c>
    </row>
    <row r="4" spans="2:11" x14ac:dyDescent="0.25">
      <c r="B4" s="65"/>
      <c r="C4" s="1" t="s">
        <v>45</v>
      </c>
      <c r="D4" s="5" t="s">
        <v>27</v>
      </c>
      <c r="E4" s="3" t="s">
        <v>11</v>
      </c>
      <c r="F4" s="3" t="s">
        <v>5</v>
      </c>
      <c r="G4" s="3" t="s">
        <v>7</v>
      </c>
      <c r="H4" s="3" t="s">
        <v>42</v>
      </c>
      <c r="I4" s="3" t="s">
        <v>10</v>
      </c>
      <c r="J4" s="3" t="s">
        <v>51</v>
      </c>
      <c r="K4" s="3" t="s">
        <v>36</v>
      </c>
    </row>
    <row r="5" spans="2:11" x14ac:dyDescent="0.25">
      <c r="B5" s="65"/>
      <c r="C5" s="1" t="s">
        <v>46</v>
      </c>
      <c r="D5" s="5" t="s">
        <v>30</v>
      </c>
      <c r="E5" s="3" t="s">
        <v>11</v>
      </c>
      <c r="F5" s="3" t="s">
        <v>5</v>
      </c>
      <c r="G5" s="3" t="s">
        <v>7</v>
      </c>
      <c r="H5" s="3" t="s">
        <v>42</v>
      </c>
      <c r="I5" s="3" t="s">
        <v>10</v>
      </c>
      <c r="J5" s="3" t="s">
        <v>52</v>
      </c>
      <c r="K5" s="3" t="s">
        <v>39</v>
      </c>
    </row>
    <row r="6" spans="2:11" x14ac:dyDescent="0.25">
      <c r="B6" s="65"/>
      <c r="C6" s="1" t="s">
        <v>47</v>
      </c>
      <c r="D6" s="5" t="s">
        <v>28</v>
      </c>
      <c r="E6" s="3" t="s">
        <v>11</v>
      </c>
      <c r="F6" s="3" t="s">
        <v>13</v>
      </c>
      <c r="G6" s="3" t="s">
        <v>14</v>
      </c>
      <c r="H6" s="3" t="s">
        <v>43</v>
      </c>
      <c r="I6" s="3" t="s">
        <v>10</v>
      </c>
      <c r="J6" s="3" t="s">
        <v>51</v>
      </c>
      <c r="K6" s="3" t="s">
        <v>37</v>
      </c>
    </row>
    <row r="7" spans="2:11" x14ac:dyDescent="0.25">
      <c r="B7" s="65"/>
      <c r="C7" s="1" t="s">
        <v>48</v>
      </c>
      <c r="D7" s="5" t="s">
        <v>30</v>
      </c>
      <c r="E7" s="3" t="s">
        <v>11</v>
      </c>
      <c r="F7" s="3" t="s">
        <v>13</v>
      </c>
      <c r="G7" s="3" t="s">
        <v>14</v>
      </c>
      <c r="H7" s="3" t="s">
        <v>43</v>
      </c>
      <c r="I7" s="3" t="s">
        <v>10</v>
      </c>
      <c r="J7" s="3" t="s">
        <v>52</v>
      </c>
      <c r="K7" s="3" t="s">
        <v>39</v>
      </c>
    </row>
    <row r="8" spans="2:11" x14ac:dyDescent="0.25">
      <c r="B8" s="65"/>
      <c r="C8" s="1" t="s">
        <v>49</v>
      </c>
      <c r="D8" s="5" t="s">
        <v>29</v>
      </c>
      <c r="E8" s="3" t="s">
        <v>11</v>
      </c>
      <c r="F8" s="3" t="s">
        <v>13</v>
      </c>
      <c r="G8" s="3" t="s">
        <v>15</v>
      </c>
      <c r="H8" s="3" t="s">
        <v>42</v>
      </c>
      <c r="I8" s="3" t="s">
        <v>10</v>
      </c>
      <c r="J8" s="3" t="s">
        <v>52</v>
      </c>
      <c r="K8" s="3" t="s">
        <v>38</v>
      </c>
    </row>
    <row r="9" spans="2:11" x14ac:dyDescent="0.25">
      <c r="B9" s="65"/>
      <c r="C9" s="1" t="s">
        <v>55</v>
      </c>
      <c r="D9" s="5" t="s">
        <v>30</v>
      </c>
      <c r="E9" s="3" t="s">
        <v>11</v>
      </c>
      <c r="F9" s="3" t="s">
        <v>5</v>
      </c>
      <c r="G9" s="3" t="s">
        <v>7</v>
      </c>
      <c r="H9" s="3" t="s">
        <v>42</v>
      </c>
      <c r="I9" s="3" t="s">
        <v>56</v>
      </c>
      <c r="J9" s="3" t="s">
        <v>52</v>
      </c>
      <c r="K9" s="3" t="s">
        <v>36</v>
      </c>
    </row>
    <row r="10" spans="2:11" x14ac:dyDescent="0.25">
      <c r="B10" s="65"/>
      <c r="C10" s="1" t="s">
        <v>57</v>
      </c>
      <c r="D10" s="5" t="s">
        <v>30</v>
      </c>
      <c r="E10" s="3" t="s">
        <v>11</v>
      </c>
      <c r="F10" s="3" t="s">
        <v>13</v>
      </c>
      <c r="G10" s="3" t="s">
        <v>7</v>
      </c>
      <c r="H10" s="3" t="s">
        <v>43</v>
      </c>
      <c r="I10" s="3" t="s">
        <v>56</v>
      </c>
      <c r="J10" s="3" t="s">
        <v>52</v>
      </c>
      <c r="K10" s="3" t="s">
        <v>36</v>
      </c>
    </row>
    <row r="11" spans="2:11" x14ac:dyDescent="0.25">
      <c r="B11" s="65"/>
      <c r="C11" s="1" t="s">
        <v>58</v>
      </c>
      <c r="D11" s="5" t="s">
        <v>30</v>
      </c>
      <c r="E11" s="3" t="s">
        <v>11</v>
      </c>
      <c r="F11" s="3" t="s">
        <v>13</v>
      </c>
      <c r="G11" s="3" t="s">
        <v>14</v>
      </c>
      <c r="H11" s="3" t="s">
        <v>43</v>
      </c>
      <c r="I11" s="3" t="s">
        <v>56</v>
      </c>
      <c r="J11" s="3" t="s">
        <v>52</v>
      </c>
      <c r="K11" s="3" t="s">
        <v>36</v>
      </c>
    </row>
    <row r="12" spans="2:11" x14ac:dyDescent="0.25">
      <c r="B12" s="65"/>
      <c r="C12" s="1" t="s">
        <v>59</v>
      </c>
      <c r="D12" s="5" t="s">
        <v>29</v>
      </c>
      <c r="E12" s="3" t="s">
        <v>11</v>
      </c>
      <c r="F12" s="3" t="s">
        <v>13</v>
      </c>
      <c r="G12" s="3" t="s">
        <v>15</v>
      </c>
      <c r="H12" s="3" t="s">
        <v>43</v>
      </c>
      <c r="I12" s="3" t="s">
        <v>56</v>
      </c>
      <c r="J12" s="3" t="s">
        <v>52</v>
      </c>
      <c r="K12" s="3" t="s">
        <v>38</v>
      </c>
    </row>
    <row r="13" spans="2:11" x14ac:dyDescent="0.25">
      <c r="B13" s="65"/>
      <c r="C13" s="1" t="s">
        <v>64</v>
      </c>
      <c r="D13" s="5" t="s">
        <v>30</v>
      </c>
      <c r="E13" s="3" t="s">
        <v>11</v>
      </c>
      <c r="F13" s="52" t="s">
        <v>13</v>
      </c>
      <c r="G13" s="3" t="s">
        <v>7</v>
      </c>
      <c r="H13" s="3" t="s">
        <v>43</v>
      </c>
      <c r="I13" s="3" t="s">
        <v>10</v>
      </c>
      <c r="J13" s="3" t="s">
        <v>52</v>
      </c>
      <c r="K13" s="3" t="s">
        <v>36</v>
      </c>
    </row>
    <row r="14" spans="2:11" x14ac:dyDescent="0.25">
      <c r="B14" s="65"/>
      <c r="C14" s="1"/>
      <c r="D14" s="5"/>
      <c r="E14" s="3"/>
      <c r="F14" s="3"/>
      <c r="K14" s="3"/>
    </row>
    <row r="15" spans="2:11" x14ac:dyDescent="0.25">
      <c r="B15" s="65"/>
      <c r="C15" s="1"/>
      <c r="D15" s="5"/>
      <c r="E15" s="3"/>
      <c r="F15" s="3"/>
      <c r="K15" s="3"/>
    </row>
    <row r="16" spans="2:11" x14ac:dyDescent="0.25">
      <c r="B16" s="65"/>
      <c r="C16" s="1"/>
      <c r="D16" s="5"/>
      <c r="E16" s="3"/>
      <c r="F16" s="3"/>
      <c r="K16" s="3"/>
    </row>
    <row r="17" spans="2:11" x14ac:dyDescent="0.25">
      <c r="B17" s="65"/>
      <c r="C17" s="1"/>
      <c r="D17" s="5"/>
      <c r="E17" s="3"/>
      <c r="F17" s="3"/>
      <c r="K17" s="3"/>
    </row>
    <row r="18" spans="2:11" x14ac:dyDescent="0.25">
      <c r="B18" s="65"/>
      <c r="C18" s="1"/>
      <c r="D18" s="5"/>
      <c r="E18" s="3"/>
      <c r="F18" s="3"/>
      <c r="K18" s="3"/>
    </row>
    <row r="19" spans="2:11" x14ac:dyDescent="0.25">
      <c r="B19" s="65"/>
      <c r="C19" s="1"/>
      <c r="D19" s="5"/>
      <c r="E19" s="3"/>
      <c r="F19" s="3"/>
      <c r="K19" s="3"/>
    </row>
    <row r="20" spans="2:11" x14ac:dyDescent="0.25">
      <c r="F20" s="3"/>
    </row>
    <row r="23" spans="2:11" x14ac:dyDescent="0.25">
      <c r="B23" s="61" t="s">
        <v>41</v>
      </c>
      <c r="C23" s="2" t="s">
        <v>6</v>
      </c>
      <c r="D23" s="6" t="s">
        <v>25</v>
      </c>
      <c r="E23" s="6" t="s">
        <v>31</v>
      </c>
    </row>
    <row r="24" spans="2:11" x14ac:dyDescent="0.25">
      <c r="B24" s="62"/>
      <c r="C24" s="1" t="s">
        <v>41</v>
      </c>
      <c r="D24" s="3" t="s">
        <v>34</v>
      </c>
      <c r="E24" s="3" t="s">
        <v>40</v>
      </c>
    </row>
    <row r="25" spans="2:11" x14ac:dyDescent="0.25">
      <c r="B25" s="62"/>
      <c r="C25" s="1"/>
      <c r="D25" s="3"/>
      <c r="E25" s="3"/>
    </row>
    <row r="26" spans="2:11" x14ac:dyDescent="0.25">
      <c r="B26" s="62"/>
      <c r="C26" s="1"/>
      <c r="D26" s="3"/>
      <c r="E26" s="3"/>
    </row>
    <row r="27" spans="2:11" x14ac:dyDescent="0.25">
      <c r="B27" s="62"/>
      <c r="C27" s="1"/>
      <c r="D27" s="3"/>
      <c r="E27" s="3"/>
    </row>
    <row r="28" spans="2:11" x14ac:dyDescent="0.25">
      <c r="B28" s="62"/>
      <c r="C28" s="1"/>
      <c r="D28" s="3"/>
      <c r="E28" s="3"/>
    </row>
    <row r="29" spans="2:11" x14ac:dyDescent="0.25">
      <c r="B29" s="62"/>
      <c r="C29" s="1"/>
      <c r="D29" s="3"/>
      <c r="E29" s="3"/>
    </row>
    <row r="30" spans="2:11" x14ac:dyDescent="0.25">
      <c r="B30" s="63"/>
      <c r="C30" s="1"/>
      <c r="D30" s="3"/>
      <c r="E30" s="3"/>
    </row>
  </sheetData>
  <mergeCells count="2">
    <mergeCell ref="B23:B30"/>
    <mergeCell ref="B2:B19"/>
  </mergeCells>
  <pageMargins left="0.7" right="0.7" top="0.78740157499999996" bottom="0.78740157499999996"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S23"/>
  <sheetViews>
    <sheetView workbookViewId="0">
      <selection activeCell="U10" sqref="U10"/>
    </sheetView>
  </sheetViews>
  <sheetFormatPr baseColWidth="10" defaultRowHeight="15" x14ac:dyDescent="0.25"/>
  <cols>
    <col min="2" max="2" width="17.7109375" customWidth="1"/>
    <col min="3" max="16" width="7.7109375" customWidth="1"/>
    <col min="17" max="17" width="7.42578125" customWidth="1"/>
    <col min="18" max="18" width="35.7109375" customWidth="1"/>
    <col min="19" max="19" width="18.28515625" customWidth="1"/>
  </cols>
  <sheetData>
    <row r="2" spans="2:19" ht="15.75" customHeight="1" x14ac:dyDescent="0.25">
      <c r="E2" s="66" t="s">
        <v>32</v>
      </c>
      <c r="F2" s="66"/>
      <c r="G2" s="66"/>
      <c r="H2" s="66"/>
      <c r="I2" s="66"/>
      <c r="J2" s="66"/>
      <c r="K2" s="66"/>
      <c r="L2" s="66"/>
      <c r="M2" s="66"/>
      <c r="N2" s="66"/>
      <c r="O2" s="66"/>
      <c r="P2" s="66"/>
    </row>
    <row r="3" spans="2:19" x14ac:dyDescent="0.25">
      <c r="B3" s="51"/>
      <c r="C3" s="69" t="s">
        <v>62</v>
      </c>
      <c r="D3" s="70"/>
      <c r="E3" s="9" t="s">
        <v>35</v>
      </c>
      <c r="F3" s="10" t="s">
        <v>26</v>
      </c>
      <c r="G3" s="9" t="s">
        <v>36</v>
      </c>
      <c r="H3" s="10" t="s">
        <v>27</v>
      </c>
      <c r="I3" s="9" t="s">
        <v>37</v>
      </c>
      <c r="J3" s="10" t="s">
        <v>28</v>
      </c>
      <c r="K3" s="9" t="s">
        <v>38</v>
      </c>
      <c r="L3" s="10" t="s">
        <v>29</v>
      </c>
      <c r="M3" s="9" t="s">
        <v>39</v>
      </c>
      <c r="N3" s="10" t="s">
        <v>30</v>
      </c>
      <c r="O3" s="9" t="s">
        <v>40</v>
      </c>
      <c r="P3" s="10" t="s">
        <v>34</v>
      </c>
    </row>
    <row r="4" spans="2:19" x14ac:dyDescent="0.25">
      <c r="B4" s="51" t="s">
        <v>16</v>
      </c>
      <c r="C4" s="67">
        <v>1</v>
      </c>
      <c r="D4" s="68"/>
      <c r="E4" s="67">
        <v>4</v>
      </c>
      <c r="F4" s="68"/>
      <c r="G4" s="69">
        <v>0</v>
      </c>
      <c r="H4" s="70"/>
      <c r="I4" s="67">
        <v>0</v>
      </c>
      <c r="J4" s="68"/>
      <c r="K4" s="67">
        <v>0</v>
      </c>
      <c r="L4" s="68"/>
      <c r="M4" s="67">
        <v>0</v>
      </c>
      <c r="N4" s="68"/>
      <c r="O4" s="69">
        <v>0</v>
      </c>
      <c r="P4" s="70"/>
      <c r="R4" t="str">
        <f>$C$3&amp;"x"&amp;C4&amp;"/"&amp;$E$3&amp;"x"&amp;E4&amp;"/"&amp;$G$3&amp;"x"&amp;G4&amp;"/"&amp;$I$3&amp;"x"&amp;I4&amp;"/"&amp;$K$3&amp;"x"&amp;K4&amp;"/"&amp;$M$3&amp;"x"&amp;M4&amp;"/"&amp;$O$3&amp;"x"&amp;O4</f>
        <v>STx1/S1x4/S2x0/S3x0/S4x0/S5x0/T1x0</v>
      </c>
    </row>
    <row r="5" spans="2:19" x14ac:dyDescent="0.25">
      <c r="B5" s="51"/>
      <c r="C5" t="str">
        <f>IF(IFERROR(FIND($C$3&amp;"x"&amp;Tabelle4[Anzahl],$R4),"")&lt;&gt;"","match","")</f>
        <v>match</v>
      </c>
      <c r="D5" s="48"/>
      <c r="E5" t="str">
        <f>IF(IFERROR(FIND(VLOOKUP(Konfigurator!$C$10,tbl_Steckdosen[],3,0)&amp;"x"&amp;Konfigurator!$K$10,Frontblenden!$R4),"")&lt;&gt;"","match","")</f>
        <v/>
      </c>
      <c r="F5" s="48"/>
      <c r="G5" t="str">
        <f>IF(IFERROR(FIND(VLOOKUP(Konfigurator!$C$4,tbl_Steckdosen[],3,0)&amp;"x"&amp;Konfigurator!$K$4+Konfigurator!$K$9+Konfigurator!$K$11+Konfigurator!$K$12+Konfigurator!$K$13,Frontblenden!$R4),"")&lt;&gt;"","match","")</f>
        <v/>
      </c>
      <c r="H5" s="48"/>
      <c r="I5" t="str">
        <f>IF(IFERROR(FIND(VLOOKUP(Konfigurator!$C$5,tbl_Steckdosen[],3,0)&amp;"x"&amp;Konfigurator!$K$5,Frontblenden!$R4),"")&lt;&gt;"","match","")</f>
        <v/>
      </c>
      <c r="J5" s="48"/>
      <c r="K5" t="str">
        <f>IF(IFERROR(FIND(VLOOKUP(Konfigurator!$C$6,tbl_Steckdosen[],3,0)&amp;"x"&amp;Konfigurator!$K$6+Konfigurator!$K$14,Frontblenden!$R4),"")&lt;&gt;"","match","")</f>
        <v/>
      </c>
      <c r="L5" s="48"/>
      <c r="M5" t="str">
        <f>IF(IFERROR(FIND(VLOOKUP(Konfigurator!$C$7,tbl_Steckdosen[],3,0)&amp;"x"&amp;Konfigurator!$K$7+Konfigurator!$K$8,Frontblenden!$R4),"")&lt;&gt;"","match","")</f>
        <v/>
      </c>
      <c r="N5" s="48"/>
      <c r="O5" t="str">
        <f>IF(IFERROR(FIND(VLOOKUP(Konfigurator!$M$7,tbl_Taster[],3,0)&amp;"x"&amp;Konfigurator!$N$7,Frontblenden!$R4),"")&lt;&gt;"","match","")</f>
        <v>match</v>
      </c>
      <c r="P5" s="50"/>
      <c r="S5" t="str">
        <f>IF(AND(C5&lt;&gt;"",E5&lt;&gt;"",G5&lt;&gt;"",I5&lt;&gt;"",K5&lt;&gt;"",M5&lt;&gt;"",O5&lt;&gt;""),"ok","0")</f>
        <v>0</v>
      </c>
    </row>
    <row r="6" spans="2:19" x14ac:dyDescent="0.25">
      <c r="B6" s="49" t="s">
        <v>17</v>
      </c>
      <c r="C6" s="67">
        <v>1</v>
      </c>
      <c r="D6" s="68"/>
      <c r="E6" s="67">
        <v>3</v>
      </c>
      <c r="F6" s="68"/>
      <c r="G6" s="67">
        <v>0</v>
      </c>
      <c r="H6" s="68"/>
      <c r="I6" s="67">
        <v>0</v>
      </c>
      <c r="J6" s="68"/>
      <c r="K6" s="67">
        <v>0</v>
      </c>
      <c r="L6" s="68"/>
      <c r="M6" s="67">
        <v>0</v>
      </c>
      <c r="N6" s="68"/>
      <c r="O6" s="67">
        <v>0</v>
      </c>
      <c r="P6" s="68"/>
      <c r="R6" t="str">
        <f>$C$3&amp;"x"&amp;C6&amp;"/"&amp;$E$3&amp;"x"&amp;E6&amp;"/"&amp;$G$3&amp;"x"&amp;G6&amp;"/"&amp;$I$3&amp;"x"&amp;I6&amp;"/"&amp;$K$3&amp;"x"&amp;K6&amp;"/"&amp;$M$3&amp;"x"&amp;M6&amp;"/"&amp;$O$3&amp;"x"&amp;O6</f>
        <v>STx1/S1x3/S2x0/S3x0/S4x0/S5x0/T1x0</v>
      </c>
    </row>
    <row r="7" spans="2:19" x14ac:dyDescent="0.25">
      <c r="B7" s="49"/>
      <c r="C7" t="str">
        <f>IF(IFERROR(FIND($C$3&amp;"x"&amp;Tabelle4[Anzahl],$R6),"")&lt;&gt;"","match","")</f>
        <v>match</v>
      </c>
      <c r="D7" s="48"/>
      <c r="E7" t="str">
        <f>IF(IFERROR(FIND(VLOOKUP(Konfigurator!$C$10,tbl_Steckdosen[],3,0)&amp;"x"&amp;Konfigurator!$K$10,Frontblenden!$R6),"")&lt;&gt;"","match","")</f>
        <v/>
      </c>
      <c r="F7" s="48"/>
      <c r="G7" t="str">
        <f>IF(IFERROR(FIND(VLOOKUP(Konfigurator!$C$4,tbl_Steckdosen[],3,0)&amp;"x"&amp;Konfigurator!$K$4+Konfigurator!$K$9+Konfigurator!$K$11+Konfigurator!$K$12+Konfigurator!$K$13,Frontblenden!$R6),"")&lt;&gt;"","match","")</f>
        <v/>
      </c>
      <c r="H7" s="48"/>
      <c r="I7" t="str">
        <f>IF(IFERROR(FIND(VLOOKUP(Konfigurator!$C$5,tbl_Steckdosen[],3,0)&amp;"x"&amp;Konfigurator!$K$5,Frontblenden!$R6),"")&lt;&gt;"","match","")</f>
        <v/>
      </c>
      <c r="J7" s="48"/>
      <c r="K7" t="str">
        <f>IF(IFERROR(FIND(VLOOKUP(Konfigurator!$C$6,tbl_Steckdosen[],3,0)&amp;"x"&amp;Konfigurator!$K$6+Konfigurator!$K$14,Frontblenden!$R6),"")&lt;&gt;"","match","")</f>
        <v/>
      </c>
      <c r="L7" s="48"/>
      <c r="M7" t="str">
        <f>IF(IFERROR(FIND(VLOOKUP(Konfigurator!$C$7,tbl_Steckdosen[],3,0)&amp;"x"&amp;Konfigurator!$K$7+Konfigurator!$K$8,Frontblenden!$R6),"")&lt;&gt;"","match","")</f>
        <v/>
      </c>
      <c r="N7" s="48"/>
      <c r="O7" t="str">
        <f>IF(IFERROR(FIND(VLOOKUP(Konfigurator!$M$7,tbl_Taster[],3,0)&amp;"x"&amp;Konfigurator!$N$7,Frontblenden!$R6),"")&lt;&gt;"","match","")</f>
        <v>match</v>
      </c>
      <c r="P7" s="50"/>
      <c r="S7" t="str">
        <f>IF(AND(C7&lt;&gt;"",E7&lt;&gt;"",G7&lt;&gt;"",I7&lt;&gt;"",K7&lt;&gt;"",M7&lt;&gt;"",O7&lt;&gt;""),"ok","0")</f>
        <v>0</v>
      </c>
    </row>
    <row r="8" spans="2:19" x14ac:dyDescent="0.25">
      <c r="B8" s="49" t="s">
        <v>18</v>
      </c>
      <c r="C8" s="67">
        <v>2</v>
      </c>
      <c r="D8" s="68"/>
      <c r="E8" s="67">
        <v>0</v>
      </c>
      <c r="F8" s="68"/>
      <c r="G8" s="67">
        <v>0</v>
      </c>
      <c r="H8" s="68"/>
      <c r="I8" s="67">
        <v>0</v>
      </c>
      <c r="J8" s="68"/>
      <c r="K8" s="67">
        <v>0</v>
      </c>
      <c r="L8" s="68"/>
      <c r="M8" s="67">
        <v>0</v>
      </c>
      <c r="N8" s="68"/>
      <c r="O8" s="67">
        <v>0</v>
      </c>
      <c r="P8" s="68"/>
      <c r="R8" t="str">
        <f>$C$3&amp;"x"&amp;C8&amp;"/"&amp;$E$3&amp;"x"&amp;E8&amp;"/"&amp;$G$3&amp;"x"&amp;G8&amp;"/"&amp;$I$3&amp;"x"&amp;I8&amp;"/"&amp;$K$3&amp;"x"&amp;K8&amp;"/"&amp;$M$3&amp;"x"&amp;M8&amp;"/"&amp;$O$3&amp;"x"&amp;O8</f>
        <v>STx2/S1x0/S2x0/S3x0/S4x0/S5x0/T1x0</v>
      </c>
    </row>
    <row r="9" spans="2:19" x14ac:dyDescent="0.25">
      <c r="B9" s="49"/>
      <c r="C9" t="str">
        <f>IF(IFERROR(FIND($C$3&amp;"x"&amp;Tabelle4[Anzahl],$R8),"")&lt;&gt;"","match","")</f>
        <v/>
      </c>
      <c r="D9" s="48"/>
      <c r="E9" t="str">
        <f>IF(IFERROR(FIND(VLOOKUP(Konfigurator!$C$10,tbl_Steckdosen[],3,0)&amp;"x"&amp;Konfigurator!$K$10,Frontblenden!$R8),"")&lt;&gt;"","match","")</f>
        <v/>
      </c>
      <c r="F9" s="48"/>
      <c r="G9" t="str">
        <f>IF(IFERROR(FIND(VLOOKUP(Konfigurator!$C$4,tbl_Steckdosen[],3,0)&amp;"x"&amp;Konfigurator!$K$4+Konfigurator!$K$9+Konfigurator!$K$11+Konfigurator!$K$12+Konfigurator!$K$13,Frontblenden!$R8),"")&lt;&gt;"","match","")</f>
        <v/>
      </c>
      <c r="H9" s="48"/>
      <c r="I9" t="str">
        <f>IF(IFERROR(FIND(VLOOKUP(Konfigurator!$C$5,tbl_Steckdosen[],3,0)&amp;"x"&amp;Konfigurator!$K$5,Frontblenden!$R8),"")&lt;&gt;"","match","")</f>
        <v/>
      </c>
      <c r="J9" s="48"/>
      <c r="K9" t="str">
        <f>IF(IFERROR(FIND(VLOOKUP(Konfigurator!$C$6,tbl_Steckdosen[],3,0)&amp;"x"&amp;Konfigurator!$K$6+Konfigurator!$K$14,Frontblenden!$R8),"")&lt;&gt;"","match","")</f>
        <v/>
      </c>
      <c r="L9" s="48"/>
      <c r="M9" t="str">
        <f>IF(IFERROR(FIND(VLOOKUP(Konfigurator!$C$7,tbl_Steckdosen[],3,0)&amp;"x"&amp;Konfigurator!$K$7+Konfigurator!$K$8,Frontblenden!$R8),"")&lt;&gt;"","match","")</f>
        <v/>
      </c>
      <c r="N9" s="48"/>
      <c r="O9" t="str">
        <f>IF(IFERROR(FIND(VLOOKUP(Konfigurator!$M$7,tbl_Taster[],3,0)&amp;"x"&amp;Konfigurator!$N$7,Frontblenden!$R8),"")&lt;&gt;"","match","")</f>
        <v>match</v>
      </c>
      <c r="P9" s="50"/>
      <c r="S9" t="str">
        <f>IF(AND(C9&lt;&gt;"",E9&lt;&gt;"",G9&lt;&gt;"",I9&lt;&gt;"",K9&lt;&gt;"",M9&lt;&gt;"",O9&lt;&gt;""),"ok","0")</f>
        <v>0</v>
      </c>
    </row>
    <row r="10" spans="2:19" x14ac:dyDescent="0.25">
      <c r="B10" s="49" t="s">
        <v>19</v>
      </c>
      <c r="C10" s="67">
        <v>0</v>
      </c>
      <c r="D10" s="68"/>
      <c r="E10" s="67">
        <v>0</v>
      </c>
      <c r="F10" s="68"/>
      <c r="G10" s="67">
        <v>2</v>
      </c>
      <c r="H10" s="68"/>
      <c r="I10" s="67">
        <v>2</v>
      </c>
      <c r="J10" s="68"/>
      <c r="K10" s="67">
        <v>0</v>
      </c>
      <c r="L10" s="68"/>
      <c r="M10" s="67">
        <v>0</v>
      </c>
      <c r="N10" s="68"/>
      <c r="O10" s="67">
        <v>0</v>
      </c>
      <c r="P10" s="68"/>
      <c r="R10" t="str">
        <f>$C$3&amp;"x"&amp;C10&amp;"/"&amp;$E$3&amp;"x"&amp;E10&amp;"/"&amp;$G$3&amp;"x"&amp;G10&amp;"/"&amp;$I$3&amp;"x"&amp;I10&amp;"/"&amp;$K$3&amp;"x"&amp;K10&amp;"/"&amp;$M$3&amp;"x"&amp;M10&amp;"/"&amp;$O$3&amp;"x"&amp;O10</f>
        <v>STx0/S1x0/S2x2/S3x2/S4x0/S5x0/T1x0</v>
      </c>
    </row>
    <row r="11" spans="2:19" x14ac:dyDescent="0.25">
      <c r="B11" s="49"/>
      <c r="C11" t="str">
        <f>IF(IFERROR(FIND($C$3&amp;"x"&amp;Tabelle4[Anzahl],$R10),"")&lt;&gt;"","match","")</f>
        <v/>
      </c>
      <c r="D11" s="48"/>
      <c r="E11" t="str">
        <f>IF(IFERROR(FIND(VLOOKUP(Konfigurator!$C$10,tbl_Steckdosen[],3,0)&amp;"x"&amp;Konfigurator!$K$10,Frontblenden!$R10),"")&lt;&gt;"","match","")</f>
        <v/>
      </c>
      <c r="F11" s="48"/>
      <c r="G11" t="str">
        <f>IF(IFERROR(FIND(VLOOKUP(Konfigurator!$C$4,tbl_Steckdosen[],3,0)&amp;"x"&amp;Konfigurator!$K$4+Konfigurator!$K$9+Konfigurator!$K$11+Konfigurator!$K$12+Konfigurator!$K$13,Frontblenden!$R10),"")&lt;&gt;"","match","")</f>
        <v/>
      </c>
      <c r="H11" s="48"/>
      <c r="I11" t="str">
        <f>IF(IFERROR(FIND(VLOOKUP(Konfigurator!$C$5,tbl_Steckdosen[],3,0)&amp;"x"&amp;Konfigurator!$K$5,Frontblenden!$R10),"")&lt;&gt;"","match","")</f>
        <v/>
      </c>
      <c r="J11" s="48"/>
      <c r="K11" t="str">
        <f>IF(IFERROR(FIND(VLOOKUP(Konfigurator!$C$6,tbl_Steckdosen[],3,0)&amp;"x"&amp;Konfigurator!$K$6+Konfigurator!$K$14,Frontblenden!$R10),"")&lt;&gt;"","match","")</f>
        <v/>
      </c>
      <c r="L11" s="48"/>
      <c r="M11" t="str">
        <f>IF(IFERROR(FIND(VLOOKUP(Konfigurator!$C$7,tbl_Steckdosen[],3,0)&amp;"x"&amp;Konfigurator!$K$7+Konfigurator!$K$8,Frontblenden!$R10),"")&lt;&gt;"","match","")</f>
        <v/>
      </c>
      <c r="N11" s="48"/>
      <c r="O11" t="str">
        <f>IF(IFERROR(FIND(VLOOKUP(Konfigurator!$M$7,tbl_Taster[],3,0)&amp;"x"&amp;Konfigurator!$N$7,Frontblenden!$R10),"")&lt;&gt;"","match","")</f>
        <v>match</v>
      </c>
      <c r="P11" s="50"/>
      <c r="S11" t="str">
        <f>IF(AND(C11&lt;&gt;"",E11&lt;&gt;"",G11&lt;&gt;"",I11&lt;&gt;"",K11&lt;&gt;"",M11&lt;&gt;"",O11&lt;&gt;""),"ok","0")</f>
        <v>0</v>
      </c>
    </row>
    <row r="12" spans="2:19" x14ac:dyDescent="0.25">
      <c r="B12" s="49" t="s">
        <v>20</v>
      </c>
      <c r="C12" s="67">
        <v>1</v>
      </c>
      <c r="D12" s="68"/>
      <c r="E12" s="67">
        <v>0</v>
      </c>
      <c r="F12" s="68"/>
      <c r="G12" s="67">
        <v>0</v>
      </c>
      <c r="H12" s="68"/>
      <c r="I12" s="67">
        <v>0</v>
      </c>
      <c r="J12" s="68"/>
      <c r="K12" s="67">
        <v>0</v>
      </c>
      <c r="L12" s="68"/>
      <c r="M12" s="67">
        <v>0</v>
      </c>
      <c r="N12" s="68"/>
      <c r="O12" s="67">
        <v>1</v>
      </c>
      <c r="P12" s="68"/>
      <c r="R12" t="str">
        <f>$C$3&amp;"x"&amp;C12&amp;"/"&amp;$E$3&amp;"x"&amp;E12&amp;"/"&amp;$G$3&amp;"x"&amp;G12&amp;"/"&amp;$I$3&amp;"x"&amp;I12&amp;"/"&amp;$K$3&amp;"x"&amp;K12&amp;"/"&amp;$M$3&amp;"x"&amp;M12&amp;"/"&amp;$O$3&amp;"x"&amp;O12</f>
        <v>STx1/S1x0/S2x0/S3x0/S4x0/S5x0/T1x1</v>
      </c>
    </row>
    <row r="13" spans="2:19" x14ac:dyDescent="0.25">
      <c r="B13" s="49"/>
      <c r="C13" t="str">
        <f>IF(IFERROR(FIND($C$3&amp;"x"&amp;Tabelle4[Anzahl],$R12),"")&lt;&gt;"","match","")</f>
        <v>match</v>
      </c>
      <c r="D13" s="48"/>
      <c r="E13" t="str">
        <f>IF(IFERROR(FIND(VLOOKUP(Konfigurator!$C$10,tbl_Steckdosen[],3,0)&amp;"x"&amp;Konfigurator!$K$10,Frontblenden!$R12),"")&lt;&gt;"","match","")</f>
        <v/>
      </c>
      <c r="F13" s="48"/>
      <c r="G13" t="str">
        <f>IF(IFERROR(FIND(VLOOKUP(Konfigurator!$C$4,tbl_Steckdosen[],3,0)&amp;"x"&amp;Konfigurator!$K$4+Konfigurator!$K$9+Konfigurator!$K$11+Konfigurator!$K$12+Konfigurator!$K$13,Frontblenden!$R12),"")&lt;&gt;"","match","")</f>
        <v/>
      </c>
      <c r="H13" s="48"/>
      <c r="I13" t="str">
        <f>IF(IFERROR(FIND(VLOOKUP(Konfigurator!$C$5,tbl_Steckdosen[],3,0)&amp;"x"&amp;Konfigurator!$K$5,Frontblenden!$R12),"")&lt;&gt;"","match","")</f>
        <v/>
      </c>
      <c r="J13" s="48"/>
      <c r="K13" t="str">
        <f>IF(IFERROR(FIND(VLOOKUP(Konfigurator!$C$6,tbl_Steckdosen[],3,0)&amp;"x"&amp;Konfigurator!$K$6+Konfigurator!$K$14,Frontblenden!$R12),"")&lt;&gt;"","match","")</f>
        <v/>
      </c>
      <c r="L13" s="48"/>
      <c r="M13" t="str">
        <f>IF(IFERROR(FIND(VLOOKUP(Konfigurator!$C$7,tbl_Steckdosen[],3,0)&amp;"x"&amp;Konfigurator!$K$7+Konfigurator!$K$8,Frontblenden!$R12),"")&lt;&gt;"","match","")</f>
        <v/>
      </c>
      <c r="N13" s="48"/>
      <c r="O13" t="str">
        <f>IF(IFERROR(FIND(VLOOKUP(Konfigurator!$M$7,tbl_Taster[],3,0)&amp;"x"&amp;Konfigurator!$N$7,Frontblenden!$R12),"")&lt;&gt;"","match","")</f>
        <v/>
      </c>
      <c r="P13" s="50"/>
      <c r="S13" t="str">
        <f>IF(AND(C13&lt;&gt;"",E13&lt;&gt;"",G13&lt;&gt;"",I13&lt;&gt;"",K13&lt;&gt;"",M13&lt;&gt;"",O13&lt;&gt;""),"ok","0")</f>
        <v>0</v>
      </c>
    </row>
    <row r="14" spans="2:19" x14ac:dyDescent="0.25">
      <c r="B14" s="49" t="s">
        <v>21</v>
      </c>
      <c r="C14" s="67">
        <v>1</v>
      </c>
      <c r="D14" s="68"/>
      <c r="E14" s="67">
        <v>1</v>
      </c>
      <c r="F14" s="68"/>
      <c r="G14" s="67">
        <v>0</v>
      </c>
      <c r="H14" s="68"/>
      <c r="I14" s="67">
        <v>0</v>
      </c>
      <c r="J14" s="68"/>
      <c r="K14" s="67">
        <v>0</v>
      </c>
      <c r="L14" s="68"/>
      <c r="M14" s="67">
        <v>1</v>
      </c>
      <c r="N14" s="68"/>
      <c r="O14" s="67">
        <v>0</v>
      </c>
      <c r="P14" s="68"/>
      <c r="R14" t="str">
        <f>$C$3&amp;"x"&amp;C14&amp;"/"&amp;$E$3&amp;"x"&amp;E14&amp;"/"&amp;$G$3&amp;"x"&amp;G14&amp;"/"&amp;$I$3&amp;"x"&amp;I14&amp;"/"&amp;$K$3&amp;"x"&amp;K14&amp;"/"&amp;$M$3&amp;"x"&amp;M14&amp;"/"&amp;$O$3&amp;"x"&amp;O14</f>
        <v>STx1/S1x1/S2x0/S3x0/S4x0/S5x1/T1x0</v>
      </c>
    </row>
    <row r="15" spans="2:19" x14ac:dyDescent="0.25">
      <c r="B15" s="49"/>
      <c r="C15" t="str">
        <f>IF(IFERROR(FIND($C$3&amp;"x"&amp;Tabelle4[Anzahl],$R14),"")&lt;&gt;"","match","")</f>
        <v>match</v>
      </c>
      <c r="D15" s="48"/>
      <c r="E15" t="str">
        <f>IF(IFERROR(FIND(VLOOKUP(Konfigurator!$C$10,tbl_Steckdosen[],3,0)&amp;"x"&amp;Konfigurator!$K$10,Frontblenden!$R14),"")&lt;&gt;"","match","")</f>
        <v/>
      </c>
      <c r="F15" s="48"/>
      <c r="G15" t="str">
        <f>IF(IFERROR(FIND(VLOOKUP(Konfigurator!$C$4,tbl_Steckdosen[],3,0)&amp;"x"&amp;Konfigurator!$K$4+Konfigurator!$K$9+Konfigurator!$K$11+Konfigurator!$K$12+Konfigurator!$K$13,Frontblenden!$R14),"")&lt;&gt;"","match","")</f>
        <v/>
      </c>
      <c r="H15" s="48"/>
      <c r="I15" t="str">
        <f>IF(IFERROR(FIND(VLOOKUP(Konfigurator!$C$5,tbl_Steckdosen[],3,0)&amp;"x"&amp;Konfigurator!$K$5,Frontblenden!$R14),"")&lt;&gt;"","match","")</f>
        <v/>
      </c>
      <c r="J15" s="48"/>
      <c r="K15" t="str">
        <f>IF(IFERROR(FIND(VLOOKUP(Konfigurator!$C$6,tbl_Steckdosen[],3,0)&amp;"x"&amp;Konfigurator!$K$6+Konfigurator!$K$14,Frontblenden!$R14),"")&lt;&gt;"","match","")</f>
        <v/>
      </c>
      <c r="L15" s="48"/>
      <c r="M15" t="str">
        <f>IF(IFERROR(FIND(VLOOKUP(Konfigurator!$C$7,tbl_Steckdosen[],3,0)&amp;"x"&amp;Konfigurator!$K$7+Konfigurator!$K$8,Frontblenden!$R14),"")&lt;&gt;"","match","")</f>
        <v/>
      </c>
      <c r="N15" s="48"/>
      <c r="O15" t="str">
        <f>IF(IFERROR(FIND(VLOOKUP(Konfigurator!$M$7,tbl_Taster[],3,0)&amp;"x"&amp;Konfigurator!$N$7,Frontblenden!$R14),"")&lt;&gt;"","match","")</f>
        <v>match</v>
      </c>
      <c r="P15" s="50"/>
      <c r="S15" t="str">
        <f>IF(AND(C15&lt;&gt;"",E15&lt;&gt;"",G15&lt;&gt;"",I15&lt;&gt;"",K15&lt;&gt;"",M15&lt;&gt;"",O15&lt;&gt;""),"ok","0")</f>
        <v>0</v>
      </c>
    </row>
    <row r="16" spans="2:19" x14ac:dyDescent="0.25">
      <c r="B16" s="49" t="s">
        <v>22</v>
      </c>
      <c r="C16" s="67">
        <v>1</v>
      </c>
      <c r="D16" s="68"/>
      <c r="E16" s="67">
        <v>3</v>
      </c>
      <c r="F16" s="68"/>
      <c r="G16" s="67">
        <v>0</v>
      </c>
      <c r="H16" s="68"/>
      <c r="I16" s="67">
        <v>0</v>
      </c>
      <c r="J16" s="68"/>
      <c r="K16" s="67">
        <v>0</v>
      </c>
      <c r="L16" s="68"/>
      <c r="M16" s="67">
        <v>1</v>
      </c>
      <c r="N16" s="68"/>
      <c r="O16" s="67">
        <v>0</v>
      </c>
      <c r="P16" s="68"/>
      <c r="R16" t="str">
        <f>$C$3&amp;"x"&amp;C16&amp;"/"&amp;$E$3&amp;"x"&amp;E16&amp;"/"&amp;$G$3&amp;"x"&amp;G16&amp;"/"&amp;$I$3&amp;"x"&amp;I16&amp;"/"&amp;$K$3&amp;"x"&amp;K16&amp;"/"&amp;$M$3&amp;"x"&amp;M16&amp;"/"&amp;$O$3&amp;"x"&amp;O16</f>
        <v>STx1/S1x3/S2x0/S3x0/S4x0/S5x1/T1x0</v>
      </c>
    </row>
    <row r="17" spans="2:19" x14ac:dyDescent="0.25">
      <c r="B17" s="49"/>
      <c r="C17" t="str">
        <f>IF(IFERROR(FIND($C$3&amp;"x"&amp;Tabelle4[Anzahl],$R16),"")&lt;&gt;"","match","")</f>
        <v>match</v>
      </c>
      <c r="D17" s="48"/>
      <c r="E17" t="str">
        <f>IF(IFERROR(FIND(VLOOKUP(Konfigurator!$C$10,tbl_Steckdosen[],3,0)&amp;"x"&amp;Konfigurator!$K$10,Frontblenden!$R16),"")&lt;&gt;"","match","")</f>
        <v/>
      </c>
      <c r="F17" s="48"/>
      <c r="G17" t="str">
        <f>IF(IFERROR(FIND(VLOOKUP(Konfigurator!$C$4,tbl_Steckdosen[],3,0)&amp;"x"&amp;Konfigurator!$K$4+Konfigurator!$K$9+Konfigurator!$K$11+Konfigurator!$K$12+Konfigurator!$K$13,Frontblenden!$R16),"")&lt;&gt;"","match","")</f>
        <v/>
      </c>
      <c r="H17" s="48"/>
      <c r="I17" t="str">
        <f>IF(IFERROR(FIND(VLOOKUP(Konfigurator!$C$5,tbl_Steckdosen[],3,0)&amp;"x"&amp;Konfigurator!$K$5,Frontblenden!$R16),"")&lt;&gt;"","match","")</f>
        <v/>
      </c>
      <c r="J17" s="48"/>
      <c r="K17" t="str">
        <f>IF(IFERROR(FIND(VLOOKUP(Konfigurator!$C$6,tbl_Steckdosen[],3,0)&amp;"x"&amp;Konfigurator!$K$6+Konfigurator!$K$14,Frontblenden!$R16),"")&lt;&gt;"","match","")</f>
        <v/>
      </c>
      <c r="L17" s="48"/>
      <c r="M17" t="str">
        <f>IF(IFERROR(FIND(VLOOKUP(Konfigurator!$C$7,tbl_Steckdosen[],3,0)&amp;"x"&amp;Konfigurator!$K$7+Konfigurator!$K$8,Frontblenden!$R16),"")&lt;&gt;"","match","")</f>
        <v/>
      </c>
      <c r="N17" s="48"/>
      <c r="O17" t="str">
        <f>IF(IFERROR(FIND(VLOOKUP(Konfigurator!$M$7,tbl_Taster[],3,0)&amp;"x"&amp;Konfigurator!$N$7,Frontblenden!$R16),"")&lt;&gt;"","match","")</f>
        <v>match</v>
      </c>
      <c r="P17" s="50"/>
      <c r="S17" t="str">
        <f>IF(AND(C17&lt;&gt;"",E17&lt;&gt;"",G17&lt;&gt;"",I17&lt;&gt;"",K17&lt;&gt;"",M17&lt;&gt;"",O17&lt;&gt;""),"ok","0")</f>
        <v>0</v>
      </c>
    </row>
    <row r="18" spans="2:19" x14ac:dyDescent="0.25">
      <c r="B18" s="49" t="s">
        <v>23</v>
      </c>
      <c r="C18" s="67">
        <v>1</v>
      </c>
      <c r="D18" s="68"/>
      <c r="E18" s="67">
        <v>0</v>
      </c>
      <c r="F18" s="68"/>
      <c r="G18" s="67">
        <v>0</v>
      </c>
      <c r="H18" s="68"/>
      <c r="I18" s="67">
        <v>0</v>
      </c>
      <c r="J18" s="68"/>
      <c r="K18" s="67">
        <v>0</v>
      </c>
      <c r="L18" s="68"/>
      <c r="M18" s="67">
        <v>3</v>
      </c>
      <c r="N18" s="68"/>
      <c r="O18" s="67">
        <v>0</v>
      </c>
      <c r="P18" s="68"/>
      <c r="R18" t="str">
        <f>$C$3&amp;"x"&amp;C18&amp;"/"&amp;$E$3&amp;"x"&amp;E18&amp;"/"&amp;$G$3&amp;"x"&amp;G18&amp;"/"&amp;$I$3&amp;"x"&amp;I18&amp;"/"&amp;$K$3&amp;"x"&amp;K18&amp;"/"&amp;$M$3&amp;"x"&amp;M18&amp;"/"&amp;$O$3&amp;"x"&amp;O18</f>
        <v>STx1/S1x0/S2x0/S3x0/S4x0/S5x3/T1x0</v>
      </c>
    </row>
    <row r="19" spans="2:19" x14ac:dyDescent="0.25">
      <c r="B19" s="49"/>
      <c r="C19" s="4" t="str">
        <f>IF(IFERROR(FIND($C$3&amp;"x"&amp;Tabelle4[Anzahl],$R18),"")&lt;&gt;"","match","")</f>
        <v>match</v>
      </c>
      <c r="D19" s="49"/>
      <c r="E19" s="4" t="str">
        <f>IF(IFERROR(FIND(VLOOKUP(Konfigurator!$C$10,tbl_Steckdosen[],3,0)&amp;"x"&amp;Konfigurator!$K$10,Frontblenden!$R18),"")&lt;&gt;"","match","")</f>
        <v/>
      </c>
      <c r="F19" s="49"/>
      <c r="G19" t="str">
        <f>IF(IFERROR(FIND(VLOOKUP(Konfigurator!$C$4,tbl_Steckdosen[],3,0)&amp;"x"&amp;Konfigurator!$K$4+Konfigurator!$K$9+Konfigurator!$K$11+Konfigurator!$K$12+Konfigurator!$K$13,Frontblenden!$R18),"")&lt;&gt;"","match","")</f>
        <v/>
      </c>
      <c r="H19" s="49"/>
      <c r="I19" s="4" t="str">
        <f>IF(IFERROR(FIND(VLOOKUP(Konfigurator!$C$5,tbl_Steckdosen[],3,0)&amp;"x"&amp;Konfigurator!$K$5,Frontblenden!$R18),"")&lt;&gt;"","match","")</f>
        <v/>
      </c>
      <c r="J19" s="49"/>
      <c r="K19" s="4" t="str">
        <f>IF(IFERROR(FIND(VLOOKUP(Konfigurator!$C$6,tbl_Steckdosen[],3,0)&amp;"x"&amp;Konfigurator!$K$6+Konfigurator!$K$14,Frontblenden!$R18),"")&lt;&gt;"","match","")</f>
        <v/>
      </c>
      <c r="L19" s="49"/>
      <c r="M19" s="4" t="str">
        <f>IF(IFERROR(FIND(VLOOKUP(Konfigurator!$C$7,tbl_Steckdosen[],3,0)&amp;"x"&amp;Konfigurator!$K$7+Konfigurator!$K$8,Frontblenden!$R18),"")&lt;&gt;"","match","")</f>
        <v/>
      </c>
      <c r="N19" s="49"/>
      <c r="O19" s="4" t="str">
        <f>IF(IFERROR(FIND(VLOOKUP(Konfigurator!$M$7,tbl_Taster[],3,0)&amp;"x"&amp;Konfigurator!$N$7,Frontblenden!$R18),"")&lt;&gt;"","match","")</f>
        <v>match</v>
      </c>
      <c r="P19" s="49"/>
      <c r="S19" t="str">
        <f>IF(AND(C19&lt;&gt;"",E19&lt;&gt;"",G19&lt;&gt;"",I19&lt;&gt;"",K19&lt;&gt;"",M19&lt;&gt;"",O19&lt;&gt;""),"ok","0")</f>
        <v>0</v>
      </c>
    </row>
    <row r="20" spans="2:19" x14ac:dyDescent="0.25">
      <c r="B20" s="49" t="s">
        <v>24</v>
      </c>
      <c r="C20" s="67">
        <v>1</v>
      </c>
      <c r="D20" s="68"/>
      <c r="E20" s="67">
        <v>2</v>
      </c>
      <c r="F20" s="68"/>
      <c r="G20" s="67">
        <v>0</v>
      </c>
      <c r="H20" s="68"/>
      <c r="I20" s="67">
        <v>0</v>
      </c>
      <c r="J20" s="68"/>
      <c r="K20" s="67">
        <v>0</v>
      </c>
      <c r="L20" s="68"/>
      <c r="M20" s="67">
        <v>2</v>
      </c>
      <c r="N20" s="68"/>
      <c r="O20" s="67">
        <v>0</v>
      </c>
      <c r="P20" s="68"/>
      <c r="R20" t="str">
        <f>$C$3&amp;"x"&amp;C20&amp;"/"&amp;$E$3&amp;"x"&amp;E20&amp;"/"&amp;$G$3&amp;"x"&amp;G20&amp;"/"&amp;$I$3&amp;"x"&amp;I20&amp;"/"&amp;$K$3&amp;"x"&amp;K20&amp;"/"&amp;$M$3&amp;"x"&amp;M20&amp;"/"&amp;$O$3&amp;"x"&amp;O20</f>
        <v>STx1/S1x2/S2x0/S3x0/S4x0/S5x2/T1x0</v>
      </c>
    </row>
    <row r="21" spans="2:19" x14ac:dyDescent="0.25">
      <c r="B21" s="50"/>
      <c r="C21" t="str">
        <f>IF(IFERROR(FIND($C$3&amp;"x"&amp;Tabelle4[Anzahl],$R20),"")&lt;&gt;"","match","")</f>
        <v>match</v>
      </c>
      <c r="D21" s="48"/>
      <c r="E21" t="str">
        <f>IF(IFERROR(FIND(VLOOKUP(Konfigurator!$C$10,tbl_Steckdosen[],3,0)&amp;"x"&amp;Konfigurator!$K$10,Frontblenden!$R20),"")&lt;&gt;"","match","")</f>
        <v/>
      </c>
      <c r="F21" s="48"/>
      <c r="G21" t="str">
        <f>IF(IFERROR(FIND(VLOOKUP(Konfigurator!$C$4,tbl_Steckdosen[],3,0)&amp;"x"&amp;Konfigurator!$K$4+Konfigurator!$K$9+Konfigurator!$K$11+Konfigurator!$K$12+Konfigurator!$K$13,Frontblenden!$R20),"")&lt;&gt;"","match","")</f>
        <v/>
      </c>
      <c r="H21" s="48"/>
      <c r="I21" t="str">
        <f>IF(IFERROR(FIND(VLOOKUP(Konfigurator!$C$5,tbl_Steckdosen[],3,0)&amp;"x"&amp;Konfigurator!$K$5,Frontblenden!$R20),"")&lt;&gt;"","match","")</f>
        <v/>
      </c>
      <c r="J21" s="48"/>
      <c r="K21" t="str">
        <f>IF(IFERROR(FIND(VLOOKUP(Konfigurator!$C$6,tbl_Steckdosen[],3,0)&amp;"x"&amp;Konfigurator!$K$6+Konfigurator!$K$14,Frontblenden!$R20),"")&lt;&gt;"","match","")</f>
        <v/>
      </c>
      <c r="L21" s="48"/>
      <c r="M21" t="str">
        <f>IF(IFERROR(FIND(VLOOKUP(Konfigurator!$C$7,tbl_Steckdosen[],3,0)&amp;"x"&amp;Konfigurator!$K$7+Konfigurator!$K$8,Frontblenden!$R20),"")&lt;&gt;"","match","")</f>
        <v/>
      </c>
      <c r="N21" s="48"/>
      <c r="O21" t="str">
        <f>IF(IFERROR(FIND(VLOOKUP(Konfigurator!$M$7,tbl_Taster[],3,0)&amp;"x"&amp;Konfigurator!$N$7,Frontblenden!$R20),"")&lt;&gt;"","match","")</f>
        <v>match</v>
      </c>
      <c r="P21" s="50"/>
      <c r="S21" t="str">
        <f>IF(AND(C21&lt;&gt;"",E21&lt;&gt;"",G21&lt;&gt;"",I21&lt;&gt;"",K21&lt;&gt;"",M21&lt;&gt;"",O21&lt;&gt;""),"ok","0")</f>
        <v>0</v>
      </c>
    </row>
    <row r="22" spans="2:19" x14ac:dyDescent="0.25">
      <c r="B22" s="49" t="s">
        <v>63</v>
      </c>
      <c r="C22" s="67">
        <v>1</v>
      </c>
      <c r="D22" s="68"/>
      <c r="E22" s="67">
        <v>2</v>
      </c>
      <c r="F22" s="68"/>
      <c r="G22" s="67">
        <v>0</v>
      </c>
      <c r="H22" s="68"/>
      <c r="I22" s="67">
        <v>0</v>
      </c>
      <c r="J22" s="68"/>
      <c r="K22" s="67">
        <v>0</v>
      </c>
      <c r="L22" s="68"/>
      <c r="M22" s="67">
        <v>0</v>
      </c>
      <c r="N22" s="68"/>
      <c r="O22" s="67">
        <v>0</v>
      </c>
      <c r="P22" s="68"/>
      <c r="R22" t="str">
        <f>$C$3&amp;"x"&amp;C22&amp;"/"&amp;$E$3&amp;"x"&amp;E22&amp;"/"&amp;$G$3&amp;"x"&amp;G22&amp;"/"&amp;$I$3&amp;"x"&amp;I22&amp;"/"&amp;$K$3&amp;"x"&amp;K22&amp;"/"&amp;$M$3&amp;"x"&amp;M22&amp;"/"&amp;$O$3&amp;"x"&amp;O22</f>
        <v>STx1/S1x2/S2x0/S3x0/S4x0/S5x0/T1x0</v>
      </c>
    </row>
    <row r="23" spans="2:19" x14ac:dyDescent="0.25">
      <c r="B23" s="50"/>
      <c r="C23" t="str">
        <f>IF(IFERROR(FIND($C$3&amp;"x"&amp;Tabelle4[Anzahl],$R22),"")&lt;&gt;"","match","")</f>
        <v>match</v>
      </c>
      <c r="D23" s="48"/>
      <c r="E23" t="str">
        <f>IF(IFERROR(FIND(VLOOKUP(Konfigurator!$C$10,tbl_Steckdosen[],3,0)&amp;"x"&amp;Konfigurator!$K$10,Frontblenden!$R22),"")&lt;&gt;"","match","")</f>
        <v/>
      </c>
      <c r="F23" s="48"/>
      <c r="G23" t="str">
        <f>IF(IFERROR(FIND(VLOOKUP(Konfigurator!$C$4,tbl_Steckdosen[],3,0)&amp;"x"&amp;Konfigurator!$K$4+Konfigurator!$K$9+Konfigurator!$K$11+Konfigurator!$K$12+Konfigurator!$K$13,Frontblenden!$R22),"")&lt;&gt;"","match","")</f>
        <v/>
      </c>
      <c r="H23" s="48"/>
      <c r="I23" t="str">
        <f>IF(IFERROR(FIND(VLOOKUP(Konfigurator!$C$5,tbl_Steckdosen[],3,0)&amp;"x"&amp;Konfigurator!$K$5,Frontblenden!$R22),"")&lt;&gt;"","match","")</f>
        <v/>
      </c>
      <c r="J23" s="48"/>
      <c r="K23" t="str">
        <f>IF(IFERROR(FIND(VLOOKUP(Konfigurator!$C$6,tbl_Steckdosen[],3,0)&amp;"x"&amp;Konfigurator!$K$6+Konfigurator!$K$14,Frontblenden!$R22),"")&lt;&gt;"","match","")</f>
        <v/>
      </c>
      <c r="L23" s="48"/>
      <c r="M23" t="str">
        <f>IF(IFERROR(FIND(VLOOKUP(Konfigurator!$C$7,tbl_Steckdosen[],3,0)&amp;"x"&amp;Konfigurator!$K$7+Konfigurator!$K$8,Frontblenden!$R22),"")&lt;&gt;"","match","")</f>
        <v/>
      </c>
      <c r="N23" s="48"/>
      <c r="O23" t="str">
        <f>IF(IFERROR(FIND(VLOOKUP(Konfigurator!$M$7,tbl_Taster[],3,0)&amp;"x"&amp;Konfigurator!$N$7,Frontblenden!$R22),"")&lt;&gt;"","match","")</f>
        <v>match</v>
      </c>
      <c r="P23" s="50"/>
      <c r="S23" t="str">
        <f>IF(AND(C23&lt;&gt;"",E23&lt;&gt;"",G23&lt;&gt;"",I23&lt;&gt;"",K23&lt;&gt;"",M23&lt;&gt;"",O23&lt;&gt;""),"ok","0")</f>
        <v>0</v>
      </c>
    </row>
  </sheetData>
  <mergeCells count="72">
    <mergeCell ref="M22:N22"/>
    <mergeCell ref="O22:P22"/>
    <mergeCell ref="C22:D22"/>
    <mergeCell ref="E22:F22"/>
    <mergeCell ref="G22:H22"/>
    <mergeCell ref="I22:J22"/>
    <mergeCell ref="K22:L22"/>
    <mergeCell ref="C12:D12"/>
    <mergeCell ref="C14:D14"/>
    <mergeCell ref="C16:D16"/>
    <mergeCell ref="C18:D18"/>
    <mergeCell ref="C20:D20"/>
    <mergeCell ref="C3:D3"/>
    <mergeCell ref="C4:D4"/>
    <mergeCell ref="C6:D6"/>
    <mergeCell ref="C8:D8"/>
    <mergeCell ref="C10:D10"/>
    <mergeCell ref="E14:F14"/>
    <mergeCell ref="E16:F16"/>
    <mergeCell ref="E18:F18"/>
    <mergeCell ref="E20:F20"/>
    <mergeCell ref="E4:F4"/>
    <mergeCell ref="E6:F6"/>
    <mergeCell ref="E8:F8"/>
    <mergeCell ref="E10:F10"/>
    <mergeCell ref="E12:F12"/>
    <mergeCell ref="G16:H16"/>
    <mergeCell ref="G18:H18"/>
    <mergeCell ref="G20:H20"/>
    <mergeCell ref="G4:H4"/>
    <mergeCell ref="G6:H6"/>
    <mergeCell ref="G8:H8"/>
    <mergeCell ref="G10:H10"/>
    <mergeCell ref="G12:H12"/>
    <mergeCell ref="G14:H14"/>
    <mergeCell ref="I10:J10"/>
    <mergeCell ref="I12:J12"/>
    <mergeCell ref="I14:J14"/>
    <mergeCell ref="I16:J16"/>
    <mergeCell ref="I18:J18"/>
    <mergeCell ref="M8:N8"/>
    <mergeCell ref="M10:N10"/>
    <mergeCell ref="M12:N12"/>
    <mergeCell ref="I20:J20"/>
    <mergeCell ref="K4:L4"/>
    <mergeCell ref="K6:L6"/>
    <mergeCell ref="K8:L8"/>
    <mergeCell ref="K10:L10"/>
    <mergeCell ref="K12:L12"/>
    <mergeCell ref="K14:L14"/>
    <mergeCell ref="K16:L16"/>
    <mergeCell ref="K18:L18"/>
    <mergeCell ref="K20:L20"/>
    <mergeCell ref="I4:J4"/>
    <mergeCell ref="I6:J6"/>
    <mergeCell ref="I8:J8"/>
    <mergeCell ref="E2:P2"/>
    <mergeCell ref="O18:P18"/>
    <mergeCell ref="O20:P20"/>
    <mergeCell ref="M14:N14"/>
    <mergeCell ref="M16:N16"/>
    <mergeCell ref="M18:N18"/>
    <mergeCell ref="M20:N20"/>
    <mergeCell ref="O6:P6"/>
    <mergeCell ref="O8:P8"/>
    <mergeCell ref="O10:P10"/>
    <mergeCell ref="O12:P12"/>
    <mergeCell ref="O14:P14"/>
    <mergeCell ref="O16:P16"/>
    <mergeCell ref="O4:P4"/>
    <mergeCell ref="M4:N4"/>
    <mergeCell ref="M6:N6"/>
  </mergeCells>
  <conditionalFormatting sqref="G4 I4 K4 M4 O4 O6 M6 K6 I6 G6 G8 I8 K8 M8 O8 O10 M10 K10 I10 G10 G12 I12 K12 M12 O12 O14 M14 K14 I14 G14 G16 I16 K16 M16 O16 O18 M18 K18 I18 G18 G20 I20 K20 M20 O20 E4 C4 E6 C6 E8 C8 E10 C10 E12 C12 E14 C14 E16 C16 E18 C18 E20 C20">
    <cfRule type="cellIs" dxfId="3" priority="7" operator="greaterThan">
      <formula>0</formula>
    </cfRule>
    <cfRule type="cellIs" dxfId="2" priority="8" operator="equal">
      <formula>0</formula>
    </cfRule>
  </conditionalFormatting>
  <conditionalFormatting sqref="G22 I22 K22 M22 O22 E22 C22">
    <cfRule type="cellIs" dxfId="1" priority="1" operator="greaterThan">
      <formula>0</formula>
    </cfRule>
    <cfRule type="cellIs" dxfId="0" priority="2" operator="equal">
      <formula>0</formula>
    </cfRule>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Konfigurator</vt:lpstr>
      <vt:lpstr>Einbaugeräte</vt:lpstr>
      <vt:lpstr>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2020-07-08T15:50:47Z</dcterms:modified>
</cp:coreProperties>
</file>