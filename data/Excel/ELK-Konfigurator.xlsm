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Fake\Desktop\VS_workspace\ESA-App\data\Excel\"/>
    </mc:Choice>
  </mc:AlternateContent>
  <bookViews>
    <workbookView xWindow="0" yWindow="0" windowWidth="28800" windowHeight="12285" tabRatio="541" firstSheet="1" activeTab="3"/>
  </bookViews>
  <sheets>
    <sheet name="Übersicht Elektranten AS" sheetId="4" r:id="rId1"/>
    <sheet name="AS-21" sheetId="5" r:id="rId2"/>
    <sheet name="AS-31" sheetId="6" r:id="rId3"/>
    <sheet name="Config_Einbaugeräte" sheetId="3" r:id="rId4"/>
    <sheet name="Config_Frontblenden"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3" i="2" l="1"/>
  <c r="R22" i="2"/>
  <c r="K13" i="3"/>
  <c r="K12" i="3"/>
  <c r="K11" i="3"/>
  <c r="K10" i="3"/>
  <c r="K9" i="3"/>
  <c r="K8" i="3"/>
  <c r="K7" i="3"/>
  <c r="K6" i="3"/>
  <c r="K5" i="3"/>
  <c r="K4" i="3"/>
  <c r="K3" i="3"/>
  <c r="O41" i="5"/>
  <c r="C23" i="2" l="1"/>
  <c r="G23" i="2" l="1"/>
  <c r="R40" i="2"/>
  <c r="C41" i="2" s="1"/>
  <c r="R38" i="2"/>
  <c r="C39" i="2" s="1"/>
  <c r="R36" i="2"/>
  <c r="C37" i="2" s="1"/>
  <c r="R34" i="2"/>
  <c r="C35" i="2" s="1"/>
  <c r="R32" i="2"/>
  <c r="C33" i="2" s="1"/>
  <c r="R30" i="2"/>
  <c r="C31" i="2" s="1"/>
  <c r="R28" i="2"/>
  <c r="C29" i="2" s="1"/>
  <c r="R26" i="2"/>
  <c r="C27" i="2" s="1"/>
  <c r="R24" i="2"/>
  <c r="C25" i="2" s="1"/>
  <c r="G33" i="2" l="1"/>
  <c r="E41" i="2"/>
  <c r="G29" i="2"/>
  <c r="G35" i="2"/>
  <c r="G37" i="2"/>
  <c r="G41" i="2"/>
  <c r="G31" i="2"/>
  <c r="G25" i="2"/>
  <c r="G27" i="2"/>
  <c r="G39" i="2"/>
  <c r="I41" i="2"/>
  <c r="O41" i="2"/>
  <c r="K41" i="2"/>
  <c r="M41" i="2"/>
  <c r="O35" i="2"/>
  <c r="K35" i="2"/>
  <c r="E35" i="2"/>
  <c r="I35" i="2"/>
  <c r="M35" i="2"/>
  <c r="M29" i="2"/>
  <c r="I29" i="2"/>
  <c r="O29" i="2"/>
  <c r="K29" i="2"/>
  <c r="E29" i="2"/>
  <c r="I27" i="2"/>
  <c r="O27" i="2"/>
  <c r="K27" i="2"/>
  <c r="E27" i="2"/>
  <c r="M27" i="2"/>
  <c r="O37" i="2"/>
  <c r="E37" i="2"/>
  <c r="K37" i="2"/>
  <c r="I37" i="2"/>
  <c r="M37" i="2"/>
  <c r="O31" i="2"/>
  <c r="K31" i="2"/>
  <c r="E31" i="2"/>
  <c r="M31" i="2"/>
  <c r="I31" i="2"/>
  <c r="M25" i="2"/>
  <c r="I25" i="2"/>
  <c r="O25" i="2"/>
  <c r="K25" i="2"/>
  <c r="E25" i="2"/>
  <c r="O33" i="2"/>
  <c r="K33" i="2"/>
  <c r="E33" i="2"/>
  <c r="I33" i="2"/>
  <c r="M33" i="2"/>
  <c r="M23" i="2"/>
  <c r="O23" i="2"/>
  <c r="K23" i="2"/>
  <c r="I23" i="2"/>
  <c r="E39" i="2"/>
  <c r="O39" i="2"/>
  <c r="M39" i="2"/>
  <c r="K39" i="2"/>
  <c r="I39" i="2"/>
  <c r="S41" i="2" l="1"/>
  <c r="S35" i="2"/>
  <c r="S23" i="2"/>
  <c r="S33" i="2"/>
  <c r="S39" i="2"/>
  <c r="S27" i="2"/>
  <c r="S31" i="2"/>
  <c r="S25" i="2"/>
  <c r="S37" i="2"/>
  <c r="S29" i="2"/>
</calcChain>
</file>

<file path=xl/sharedStrings.xml><?xml version="1.0" encoding="utf-8"?>
<sst xmlns="http://schemas.openxmlformats.org/spreadsheetml/2006/main" count="265" uniqueCount="77">
  <si>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</si>
  <si>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</si>
  <si>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</si>
  <si>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</si>
  <si>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</si>
  <si>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</si>
  <si>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</si>
  <si>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</si>
  <si>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</si>
  <si>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</si>
  <si>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</si>
  <si>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</si>
  <si>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</si>
  <si>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</si>
  <si>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</si>
  <si>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</si>
  <si>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</si>
  <si>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</si>
  <si>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</si>
  <si>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</si>
  <si>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</si>
  <si>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</si>
  <si>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</si>
  <si>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</si>
  <si>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</si>
  <si>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</si>
  <si>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</si>
  <si>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</si>
  <si>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</si>
  <si>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</si>
  <si>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</si>
  <si>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</si>
  <si>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</si>
  <si>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</si>
  <si>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</si>
  <si>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T1</t>
  </si>
  <si>
    <t>Taster</t>
  </si>
  <si>
    <t>3p</t>
  </si>
  <si>
    <t>5p</t>
  </si>
  <si>
    <t>E-MEN.11011</t>
  </si>
  <si>
    <t>E-MEN.1619</t>
  </si>
  <si>
    <t>E-MEN.3008</t>
  </si>
  <si>
    <t>E-MEN.1797</t>
  </si>
  <si>
    <t>E-MEN.3171</t>
  </si>
  <si>
    <t>E-MEN.21160A</t>
  </si>
  <si>
    <t>Form</t>
  </si>
  <si>
    <t>gerade</t>
  </si>
  <si>
    <t>Neigung 20°</t>
  </si>
  <si>
    <t>Anzahl</t>
  </si>
  <si>
    <t>E-MEN.1168</t>
  </si>
  <si>
    <t>IP67</t>
  </si>
  <si>
    <t>E-MEN.1173</t>
  </si>
  <si>
    <t>E-MEN.3590</t>
  </si>
  <si>
    <t>E-MEN.20148A</t>
  </si>
  <si>
    <t>ST</t>
  </si>
  <si>
    <t>B-BL.1******</t>
  </si>
  <si>
    <t>E-MEN.3070</t>
  </si>
  <si>
    <t>Merkmal</t>
  </si>
  <si>
    <t>AS-21</t>
  </si>
  <si>
    <t>AS-31</t>
  </si>
  <si>
    <t>Kabelablage</t>
  </si>
  <si>
    <t>Sockel</t>
  </si>
  <si>
    <t>Übersicht Elektranten</t>
  </si>
  <si>
    <t>Elektrant AS-21</t>
  </si>
  <si>
    <t>Bestellhinweise:</t>
  </si>
  <si>
    <t>Säule besteht aus 2 Bestellkomponenten</t>
  </si>
  <si>
    <t>Korpus</t>
  </si>
  <si>
    <t>Zubehör:</t>
  </si>
  <si>
    <t>Frontblende (modular)</t>
  </si>
  <si>
    <t>Auswahl-Tool Frontblenden</t>
  </si>
  <si>
    <t>1. "Wunsch-" Steckdosen angeben</t>
  </si>
  <si>
    <t>2. passende Frontblende wird grün markiert angezeit</t>
  </si>
  <si>
    <t>(alle) Frontblenden</t>
  </si>
  <si>
    <t>AS21</t>
  </si>
  <si>
    <t>AS31-vorn</t>
  </si>
  <si>
    <t>AS31-hinten</t>
  </si>
  <si>
    <t>falls keine grün markiert --&gt; nicht vorhanden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</si>
</sst>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
      <sz val="11"/>
      <color rgb="FF9C6500"/>
      <name val="Calibri"/>
      <family val="2"/>
      <scheme val="minor"/>
    </font>
    <font>
      <b/>
      <sz val="12"/>
      <color rgb="FF9C6500"/>
      <name val="Calibri"/>
      <family val="2"/>
      <scheme val="minor"/>
    </font>
    <font>
      <b/>
      <sz val="20"/>
      <color theme="0" tint="-4.9989318521683403E-2"/>
      <name val="Arial Black"/>
      <family val="2"/>
    </font>
    <font>
      <b/>
      <sz val="12"/>
      <color rgb="FFFF0000"/>
      <name val="Calibri"/>
      <family val="2"/>
      <scheme val="minor"/>
    </font>
    <font>
      <b/>
      <sz val="12"/>
      <color theme="0"/>
      <name val="Calibri"/>
      <family val="2"/>
      <scheme val="minor"/>
    </font>
    <font>
      <sz val="12"/>
      <color theme="0"/>
      <name val="Calibri"/>
      <family val="2"/>
      <scheme val="minor"/>
    </font>
    <font>
      <sz val="12"/>
      <color rgb="FF684300"/>
      <name val="Calibri"/>
      <family val="2"/>
      <scheme val="minor"/>
    </font>
    <font>
      <b/>
      <u/>
      <sz val="20"/>
      <color rgb="FF0070C0"/>
      <name val="Calibri"/>
      <family val="2"/>
      <scheme val="minor"/>
    </font>
    <font>
      <b/>
      <sz val="22"/>
      <color theme="0" tint="-4.9989318521683403E-2"/>
      <name val="Arial Black"/>
      <family val="2"/>
    </font>
    <font>
      <b/>
      <sz val="11"/>
      <color rgb="FF9C6500"/>
      <name val="Calibri"/>
      <family val="2"/>
      <scheme val="minor"/>
    </font>
    <font>
      <b/>
      <sz val="11"/>
      <color rgb="FF00B050"/>
      <name val="Calibri"/>
      <family val="2"/>
      <scheme val="minor"/>
    </font>
  </fonts>
  <fills count="13">
    <fill>
      <patternFill patternType="none"/>
    </fill>
    <fill>
      <patternFill patternType="gray125"/>
    </fill>
    <fill>
      <patternFill patternType="solid">
        <fgColor theme="5"/>
        <bgColor theme="5"/>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EB9C"/>
      </patternFill>
    </fill>
    <fill>
      <patternFill patternType="solid">
        <fgColor theme="4"/>
      </patternFill>
    </fill>
    <fill>
      <patternFill patternType="solid">
        <fgColor theme="1" tint="0.499984740745262"/>
        <bgColor indexed="64"/>
      </patternFill>
    </fill>
    <fill>
      <patternFill patternType="solid">
        <fgColor rgb="FFF2F7FC"/>
        <bgColor indexed="64"/>
      </patternFill>
    </fill>
    <fill>
      <patternFill patternType="solid">
        <fgColor rgb="FF6DD9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s>
  <borders count="43">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style="thin">
        <color theme="0"/>
      </top>
      <bottom style="thin">
        <color theme="0"/>
      </bottom>
      <diagonal/>
    </border>
  </borders>
  <cellStyleXfs count="12">
    <xf numFmtId="0" fontId="0" fillId="0" borderId="0"/>
    <xf numFmtId="0" fontId="2" fillId="0" borderId="0" applyNumberFormat="0" applyFill="0" applyBorder="0" applyAlignment="0" applyProtection="0"/>
    <xf numFmtId="0" fontId="5" fillId="9" borderId="0" applyNumberFormat="0" applyFont="0" applyBorder="0" applyAlignment="0" applyProtection="0"/>
    <xf numFmtId="0" fontId="5" fillId="3" borderId="0" applyNumberFormat="0" applyFont="0" applyBorder="0" applyAlignment="0" applyProtection="0"/>
    <xf numFmtId="0" fontId="12" fillId="6" borderId="0" applyNumberFormat="0" applyBorder="0" applyAlignment="0" applyProtection="0"/>
    <xf numFmtId="0" fontId="7" fillId="7" borderId="0" applyNumberFormat="0" applyBorder="0" applyAlignment="0" applyProtection="0"/>
    <xf numFmtId="0" fontId="5" fillId="3" borderId="0" applyNumberFormat="0" applyFont="0" applyFill="0" applyAlignment="0" applyProtection="0"/>
    <xf numFmtId="0" fontId="5" fillId="10" borderId="0" applyNumberFormat="0" applyFont="0" applyBorder="0" applyAlignment="0" applyProtection="0"/>
    <xf numFmtId="0" fontId="5" fillId="8" borderId="0" applyNumberFormat="0" applyFont="0" applyBorder="0" applyAlignment="0" applyProtection="0"/>
    <xf numFmtId="0" fontId="8" fillId="2" borderId="0" applyNumberFormat="0" applyFont="0" applyBorder="0" applyAlignment="0" applyProtection="0">
      <alignment vertical="center"/>
    </xf>
    <xf numFmtId="0" fontId="5" fillId="11" borderId="42" applyNumberFormat="0" applyFont="0" applyBorder="0" applyAlignment="0" applyProtection="0">
      <alignment horizontal="left"/>
    </xf>
    <xf numFmtId="0" fontId="5" fillId="12" borderId="42" applyNumberFormat="0" applyFont="0" applyBorder="0" applyAlignment="0" applyProtection="0">
      <alignment horizontal="left"/>
    </xf>
  </cellStyleXfs>
  <cellXfs count="111">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1" xfId="0" applyBorder="1" applyAlignment="1" applyProtection="1">
      <alignment horizontal="center" vertical="center"/>
    </xf>
    <xf numFmtId="0" fontId="0" fillId="0" borderId="11" xfId="0" applyBorder="1" applyAlignment="1" applyProtection="1">
      <alignment horizontal="center" vertical="center"/>
      <protection locked="0"/>
    </xf>
    <xf numFmtId="0" fontId="0" fillId="0" borderId="13" xfId="0" applyBorder="1" applyAlignment="1">
      <alignment horizontal="left" vertical="center"/>
    </xf>
    <xf numFmtId="0" fontId="0" fillId="0" borderId="13" xfId="0" applyBorder="1" applyAlignment="1">
      <alignment horizontal="center" vertical="center"/>
    </xf>
    <xf numFmtId="0" fontId="0" fillId="0" borderId="14" xfId="0" applyBorder="1" applyAlignment="1" applyProtection="1">
      <alignment horizontal="center" vertical="center"/>
      <protection locked="0"/>
    </xf>
    <xf numFmtId="0" fontId="2" fillId="0" borderId="0" xfId="1" applyBorder="1" applyAlignment="1">
      <alignment horizontal="center" vertical="center"/>
    </xf>
    <xf numFmtId="0" fontId="2" fillId="0" borderId="13" xfId="1" applyBorder="1" applyAlignment="1">
      <alignment horizontal="center" vertical="center"/>
    </xf>
    <xf numFmtId="0" fontId="0" fillId="0" borderId="0" xfId="0" applyBorder="1" applyAlignment="1">
      <alignment horizontal="left" vertical="center" indent="1"/>
    </xf>
    <xf numFmtId="0" fontId="0" fillId="0" borderId="13" xfId="0" applyBorder="1" applyAlignment="1">
      <alignment horizontal="left" vertical="center" indent="1"/>
    </xf>
    <xf numFmtId="0" fontId="9" fillId="0" borderId="10" xfId="0" applyFont="1" applyBorder="1" applyAlignment="1">
      <alignment horizontal="left" vertical="center" indent="1"/>
    </xf>
    <xf numFmtId="0" fontId="9" fillId="0" borderId="12" xfId="0" applyFont="1" applyBorder="1" applyAlignment="1">
      <alignment horizontal="left" vertical="center" indent="1"/>
    </xf>
    <xf numFmtId="0" fontId="6" fillId="0" borderId="16" xfId="0" applyFont="1" applyBorder="1" applyAlignment="1">
      <alignment vertical="center"/>
    </xf>
    <xf numFmtId="0" fontId="6" fillId="0" borderId="15" xfId="0" applyFont="1" applyBorder="1" applyAlignment="1">
      <alignment vertical="center"/>
    </xf>
    <xf numFmtId="0" fontId="6" fillId="0" borderId="15" xfId="0" applyFont="1" applyBorder="1" applyAlignment="1">
      <alignment horizontal="center" vertical="center"/>
    </xf>
    <xf numFmtId="0" fontId="6" fillId="0" borderId="17" xfId="0" applyFont="1" applyBorder="1" applyAlignment="1">
      <alignment vertical="center"/>
    </xf>
    <xf numFmtId="0" fontId="0" fillId="0" borderId="18"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0" fillId="0" borderId="8" xfId="0" applyBorder="1" applyAlignment="1">
      <alignment horizontal="center"/>
    </xf>
    <xf numFmtId="0" fontId="0" fillId="0" borderId="0" xfId="0" applyFont="1" applyAlignment="1">
      <alignment horizontal="center"/>
    </xf>
    <xf numFmtId="0" fontId="0" fillId="9" borderId="0" xfId="2" applyFont="1" applyBorder="1"/>
    <xf numFmtId="0" fontId="0" fillId="3" borderId="0" xfId="3" applyFont="1"/>
    <xf numFmtId="0" fontId="0" fillId="8" borderId="0" xfId="0" applyFill="1"/>
    <xf numFmtId="0" fontId="0" fillId="8" borderId="0" xfId="0" applyFill="1" applyAlignment="1"/>
    <xf numFmtId="0" fontId="7" fillId="7" borderId="0" xfId="5"/>
    <xf numFmtId="0" fontId="12" fillId="6" borderId="0" xfId="4" applyBorder="1"/>
    <xf numFmtId="0" fontId="12" fillId="6" borderId="0" xfId="4" applyBorder="1" applyAlignment="1"/>
    <xf numFmtId="0" fontId="7" fillId="7" borderId="0" xfId="5" applyAlignment="1"/>
    <xf numFmtId="0" fontId="12" fillId="9" borderId="0" xfId="2" applyFont="1" applyBorder="1"/>
    <xf numFmtId="0" fontId="0" fillId="9" borderId="0" xfId="2" applyFont="1"/>
    <xf numFmtId="0" fontId="12" fillId="6" borderId="20" xfId="4" applyBorder="1"/>
    <xf numFmtId="0" fontId="12" fillId="6" borderId="21" xfId="4" applyBorder="1"/>
    <xf numFmtId="0" fontId="13" fillId="6" borderId="28" xfId="4" applyFont="1" applyBorder="1"/>
    <xf numFmtId="0" fontId="12" fillId="6" borderId="28" xfId="4" applyBorder="1"/>
    <xf numFmtId="0" fontId="12" fillId="6" borderId="29" xfId="4" applyBorder="1"/>
    <xf numFmtId="0" fontId="12" fillId="6" borderId="31" xfId="4" applyBorder="1" applyAlignment="1"/>
    <xf numFmtId="0" fontId="12" fillId="6" borderId="33" xfId="4" applyBorder="1" applyAlignment="1"/>
    <xf numFmtId="0" fontId="12" fillId="6" borderId="34" xfId="4" applyBorder="1" applyAlignment="1"/>
    <xf numFmtId="0" fontId="0" fillId="9" borderId="0" xfId="2" applyFont="1" applyBorder="1" applyAlignment="1"/>
    <xf numFmtId="0" fontId="0" fillId="10" borderId="39" xfId="7" applyFont="1" applyBorder="1"/>
    <xf numFmtId="0" fontId="0" fillId="10" borderId="18" xfId="7" applyFont="1" applyBorder="1"/>
    <xf numFmtId="0" fontId="0" fillId="10" borderId="0" xfId="7" applyFont="1" applyBorder="1"/>
    <xf numFmtId="0" fontId="0" fillId="10" borderId="4" xfId="7" applyFont="1" applyBorder="1"/>
    <xf numFmtId="0" fontId="0" fillId="10" borderId="2" xfId="7" applyFont="1" applyBorder="1"/>
    <xf numFmtId="0" fontId="0" fillId="10" borderId="8" xfId="7" applyFont="1" applyBorder="1"/>
    <xf numFmtId="0" fontId="17" fillId="10" borderId="0" xfId="7" applyFont="1" applyBorder="1" applyAlignment="1">
      <alignment horizontal="left" indent="1"/>
    </xf>
    <xf numFmtId="0" fontId="18" fillId="6" borderId="0" xfId="4" applyFont="1" applyBorder="1" applyAlignment="1"/>
    <xf numFmtId="0" fontId="18" fillId="6" borderId="0" xfId="4" applyFont="1" applyBorder="1" applyAlignment="1">
      <alignment horizontal="left" indent="1"/>
    </xf>
    <xf numFmtId="0" fontId="0" fillId="8" borderId="0" xfId="8" applyFont="1"/>
    <xf numFmtId="0" fontId="14" fillId="8" borderId="0" xfId="0" applyFont="1" applyFill="1" applyAlignment="1">
      <alignment horizontal="left" vertical="center" indent="1"/>
    </xf>
    <xf numFmtId="0" fontId="14" fillId="8" borderId="0" xfId="0" applyFont="1" applyFill="1" applyAlignment="1">
      <alignment vertical="center"/>
    </xf>
    <xf numFmtId="0" fontId="12" fillId="6" borderId="23" xfId="4" applyBorder="1"/>
    <xf numFmtId="0" fontId="12" fillId="6" borderId="25" xfId="4" applyBorder="1"/>
    <xf numFmtId="0" fontId="12" fillId="6" borderId="26" xfId="4" applyBorder="1"/>
    <xf numFmtId="0" fontId="8" fillId="9" borderId="0" xfId="2" applyFont="1" applyBorder="1" applyAlignment="1">
      <alignment vertical="center"/>
    </xf>
    <xf numFmtId="0" fontId="8" fillId="2" borderId="0" xfId="9" applyFont="1" applyAlignment="1">
      <alignment horizontal="center" vertical="center"/>
    </xf>
    <xf numFmtId="0" fontId="9" fillId="0" borderId="0" xfId="0" applyFont="1" applyAlignment="1">
      <alignment vertical="center"/>
    </xf>
    <xf numFmtId="0" fontId="0" fillId="0" borderId="0" xfId="0" applyAlignment="1">
      <alignment horizontal="left" vertical="center" indent="1"/>
    </xf>
    <xf numFmtId="0" fontId="0" fillId="9" borderId="0" xfId="2" applyFont="1" applyAlignment="1">
      <alignment horizontal="left" vertical="center" indent="1"/>
    </xf>
    <xf numFmtId="0" fontId="0" fillId="8" borderId="0" xfId="8" applyFont="1" applyBorder="1"/>
    <xf numFmtId="0" fontId="20" fillId="8" borderId="0" xfId="0" applyFont="1" applyFill="1" applyAlignment="1">
      <alignment horizontal="left" vertical="center" indent="1"/>
    </xf>
    <xf numFmtId="0" fontId="0" fillId="0" borderId="2" xfId="0" applyBorder="1" applyAlignment="1"/>
    <xf numFmtId="0" fontId="0" fillId="0" borderId="8" xfId="0" applyBorder="1" applyAlignment="1"/>
    <xf numFmtId="0" fontId="21" fillId="6" borderId="0" xfId="4" applyFont="1" applyBorder="1"/>
    <xf numFmtId="0" fontId="22" fillId="6" borderId="0" xfId="4" applyFont="1" applyBorder="1" applyAlignment="1">
      <alignment horizontal="left" indent="2"/>
    </xf>
    <xf numFmtId="0" fontId="20" fillId="8" borderId="0" xfId="0" applyFont="1" applyFill="1" applyAlignment="1">
      <alignment horizontal="left" vertical="center" indent="1"/>
    </xf>
    <xf numFmtId="0" fontId="0" fillId="4" borderId="0" xfId="2" applyFont="1" applyFill="1" applyBorder="1" applyAlignment="1">
      <alignment horizontal="center"/>
    </xf>
    <xf numFmtId="0" fontId="19" fillId="4" borderId="0" xfId="1" applyFont="1" applyFill="1" applyBorder="1" applyAlignment="1">
      <alignment horizontal="center" vertical="center"/>
    </xf>
    <xf numFmtId="0" fontId="10" fillId="4" borderId="0" xfId="2" applyFont="1" applyFill="1" applyBorder="1" applyAlignment="1">
      <alignment horizontal="center" vertical="center"/>
    </xf>
    <xf numFmtId="0" fontId="11" fillId="5" borderId="0" xfId="2" applyFont="1" applyFill="1" applyBorder="1" applyAlignment="1">
      <alignment horizontal="center" vertical="center"/>
    </xf>
    <xf numFmtId="0" fontId="0" fillId="3" borderId="35" xfId="3" applyFont="1" applyBorder="1" applyAlignment="1">
      <alignment horizontal="center"/>
    </xf>
    <xf numFmtId="0" fontId="0" fillId="3" borderId="36" xfId="3" applyFont="1" applyBorder="1" applyAlignment="1">
      <alignment horizontal="center"/>
    </xf>
    <xf numFmtId="0" fontId="0" fillId="3" borderId="37" xfId="3" applyFont="1" applyBorder="1" applyAlignment="1">
      <alignment horizontal="center"/>
    </xf>
    <xf numFmtId="0" fontId="16" fillId="10" borderId="0" xfId="7" applyFont="1" applyBorder="1" applyAlignment="1">
      <alignment horizontal="left"/>
    </xf>
    <xf numFmtId="0" fontId="16" fillId="10" borderId="4" xfId="7" applyFont="1" applyBorder="1" applyAlignment="1">
      <alignment horizontal="left"/>
    </xf>
    <xf numFmtId="0" fontId="0" fillId="10" borderId="38" xfId="7" applyFont="1" applyBorder="1" applyAlignment="1">
      <alignment horizontal="center"/>
    </xf>
    <xf numFmtId="0" fontId="0" fillId="10" borderId="40" xfId="7" applyFont="1" applyBorder="1" applyAlignment="1">
      <alignment horizontal="center"/>
    </xf>
    <xf numFmtId="0" fontId="0" fillId="10" borderId="41" xfId="7" applyFont="1" applyBorder="1" applyAlignment="1">
      <alignment horizontal="center"/>
    </xf>
    <xf numFmtId="0" fontId="12" fillId="6" borderId="19" xfId="4" applyBorder="1" applyAlignment="1">
      <alignment horizontal="center"/>
    </xf>
    <xf numFmtId="0" fontId="12" fillId="6" borderId="22" xfId="4" applyBorder="1" applyAlignment="1">
      <alignment horizontal="center"/>
    </xf>
    <xf numFmtId="0" fontId="12" fillId="6" borderId="24" xfId="4" applyBorder="1" applyAlignment="1">
      <alignment horizontal="center"/>
    </xf>
    <xf numFmtId="0" fontId="15" fillId="6" borderId="0" xfId="4" applyFont="1" applyBorder="1" applyAlignment="1">
      <alignment horizontal="left"/>
    </xf>
    <xf numFmtId="0" fontId="15" fillId="6" borderId="31" xfId="4" applyFont="1" applyBorder="1" applyAlignment="1">
      <alignment horizontal="left"/>
    </xf>
    <xf numFmtId="0" fontId="12" fillId="6" borderId="27" xfId="4" applyBorder="1" applyAlignment="1">
      <alignment horizontal="center"/>
    </xf>
    <xf numFmtId="0" fontId="12" fillId="6" borderId="30" xfId="4" applyBorder="1" applyAlignment="1">
      <alignment horizontal="center"/>
    </xf>
    <xf numFmtId="0" fontId="12" fillId="6" borderId="32" xfId="4" applyBorder="1" applyAlignment="1">
      <alignment horizont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0" fillId="0" borderId="1" xfId="0" applyBorder="1" applyAlignment="1">
      <alignment horizontal="center"/>
    </xf>
    <xf numFmtId="0" fontId="0" fillId="0" borderId="3" xfId="0" applyBorder="1" applyAlignment="1">
      <alignment horizontal="center"/>
    </xf>
    <xf numFmtId="0" fontId="1" fillId="0" borderId="0" xfId="0" applyFont="1" applyAlignment="1">
      <alignment horizontal="center"/>
    </xf>
    <xf numFmtId="0" fontId="0" fillId="0" borderId="2" xfId="0" applyBorder="1" applyAlignment="1">
      <alignment horizontal="center"/>
    </xf>
    <xf numFmtId="0" fontId="0" fillId="0" borderId="8" xfId="0" applyBorder="1" applyAlignment="1">
      <alignment horizontal="center"/>
    </xf>
  </cellXfs>
  <cellStyles count="12">
    <cellStyle name="Abschnitt" xfId="8"/>
    <cellStyle name="Akzent1" xfId="5" builtinId="29"/>
    <cellStyle name="Ergebnis 1" xfId="9"/>
    <cellStyle name="Ergebnis 2" xfId="10"/>
    <cellStyle name="Ergenis 3" xfId="11"/>
    <cellStyle name="Hintergrund" xfId="2"/>
    <cellStyle name="Hintergrund-weiss" xfId="3"/>
    <cellStyle name="Link" xfId="1" builtinId="8"/>
    <cellStyle name="Neutral" xfId="4" builtinId="28"/>
    <cellStyle name="Standard" xfId="0" builtinId="0"/>
    <cellStyle name="Überschrift HG" xfId="6"/>
    <cellStyle name="Zubehör" xfId="7"/>
  </cellStyles>
  <dxfs count="54">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0" indent="1" justifyLastLine="0" shrinkToFit="0" readingOrder="0"/>
    </dxf>
    <dxf>
      <alignment horizontal="left" vertical="center" textRotation="0" wrapText="0" indent="1"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FFAC33"/>
      <color rgb="FF6DD9FF"/>
      <color rgb="FF684300"/>
      <color rgb="FFF2F7FC"/>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22" fmlaLink="$K$41" max="4" page="10" val="0"/>
</file>

<file path=xl/ctrlProps/ctrlProp2.xml><?xml version="1.0" encoding="utf-8"?>
<formControlPr xmlns="http://schemas.microsoft.com/office/spreadsheetml/2009/9/main" objectType="Spin" dx="22" fmlaLink="$K$42" max="4" page="10" val="0"/>
</file>

<file path=xl/ctrlProps/ctrlProp3.xml><?xml version="1.0" encoding="utf-8"?>
<formControlPr xmlns="http://schemas.microsoft.com/office/spreadsheetml/2009/9/main" objectType="Spin" dx="22" fmlaLink="$K$43" max="4" page="10" val="0"/>
</file>

<file path=xl/ctrlProps/ctrlProp4.xml><?xml version="1.0" encoding="utf-8"?>
<formControlPr xmlns="http://schemas.microsoft.com/office/spreadsheetml/2009/9/main" objectType="Spin" dx="22" fmlaLink="$K$44" max="4" page="10" val="0"/>
</file>

<file path=xl/ctrlProps/ctrlProp5.xml><?xml version="1.0" encoding="utf-8"?>
<formControlPr xmlns="http://schemas.microsoft.com/office/spreadsheetml/2009/9/main" objectType="Spin" dx="22" fmlaLink="$K$45" max="4" page="10" val="0"/>
</file>

<file path=xl/ctrlProps/ctrlProp6.xml><?xml version="1.0" encoding="utf-8"?>
<formControlPr xmlns="http://schemas.microsoft.com/office/spreadsheetml/2009/9/main" objectType="Spin" dx="22" fmlaLink="$K$47" max="4" page="10" val="0"/>
</file>

<file path=xl/ctrlProps/ctrlProp7.xml><?xml version="1.0" encoding="utf-8"?>
<formControlPr xmlns="http://schemas.microsoft.com/office/spreadsheetml/2009/9/main" objectType="Spin" dx="22" fmlaLink="$K$48" max="4" page="10" val="0"/>
</file>

<file path=xl/ctrlProps/ctrlProp8.xml><?xml version="1.0" encoding="utf-8"?>
<formControlPr xmlns="http://schemas.microsoft.com/office/spreadsheetml/2009/9/main" objectType="Spin" dx="22" fmlaLink="$K$49" max="4" page="10" val="0"/>
</file>

<file path=xl/ctrlProps/ctrlProp9.xml><?xml version="1.0" encoding="utf-8"?>
<formControlPr xmlns="http://schemas.microsoft.com/office/spreadsheetml/2009/9/main" objectType="Spin" dx="22" fmlaLink="$K$50" max="4" page="10" val="0"/>
</file>

<file path=xl/ctrlProps/ctrlProp10.xml><?xml version="1.0" encoding="utf-8"?>
<formControlPr xmlns="http://schemas.microsoft.com/office/spreadsheetml/2009/9/main" objectType="Spin" dx="22" fmlaLink="$K$40" max="4" page="10" val="0"/>
</file>

<file path=xl/ctrlProps/ctrlProp11.xml><?xml version="1.0" encoding="utf-8"?>
<formControlPr xmlns="http://schemas.microsoft.com/office/spreadsheetml/2009/9/main" objectType="Spin" dx="22" fmlaLink="$K$46"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10</xdr:row>
      <xdr:rowOff>47625</xdr:rowOff>
    </xdr:from>
    <xdr:to>
      <xdr:col>6</xdr:col>
      <xdr:colOff>507956</xdr:colOff>
      <xdr:row>40</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10</xdr:row>
      <xdr:rowOff>180975</xdr:rowOff>
    </xdr:from>
    <xdr:to>
      <xdr:col>10</xdr:col>
      <xdr:colOff>636243</xdr:colOff>
      <xdr:row>40</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676275</xdr:colOff>
          <xdr:row>40</xdr:row>
          <xdr:rowOff>38100</xdr:rowOff>
        </xdr:from>
        <xdr:to>
          <xdr:col>10</xdr:col>
          <xdr:colOff>819150</xdr:colOff>
          <xdr:row>40</xdr:row>
          <xdr:rowOff>323850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41</xdr:row>
          <xdr:rowOff>38100</xdr:rowOff>
        </xdr:from>
        <xdr:to>
          <xdr:col>10</xdr:col>
          <xdr:colOff>819150</xdr:colOff>
          <xdr:row>41</xdr:row>
          <xdr:rowOff>323850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42</xdr:row>
          <xdr:rowOff>38100</xdr:rowOff>
        </xdr:from>
        <xdr:to>
          <xdr:col>10</xdr:col>
          <xdr:colOff>819150</xdr:colOff>
          <xdr:row>42</xdr:row>
          <xdr:rowOff>323850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43</xdr:row>
          <xdr:rowOff>38100</xdr:rowOff>
        </xdr:from>
        <xdr:to>
          <xdr:col>10</xdr:col>
          <xdr:colOff>819150</xdr:colOff>
          <xdr:row>43</xdr:row>
          <xdr:rowOff>323850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47625</xdr:rowOff>
        </xdr:from>
        <xdr:to>
          <xdr:col>10</xdr:col>
          <xdr:colOff>819150</xdr:colOff>
          <xdr:row>44</xdr:row>
          <xdr:rowOff>333375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46</xdr:row>
          <xdr:rowOff>47625</xdr:rowOff>
        </xdr:from>
        <xdr:to>
          <xdr:col>10</xdr:col>
          <xdr:colOff>819150</xdr:colOff>
          <xdr:row>46</xdr:row>
          <xdr:rowOff>333375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47</xdr:row>
          <xdr:rowOff>47625</xdr:rowOff>
        </xdr:from>
        <xdr:to>
          <xdr:col>10</xdr:col>
          <xdr:colOff>819150</xdr:colOff>
          <xdr:row>47</xdr:row>
          <xdr:rowOff>333375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48</xdr:row>
          <xdr:rowOff>47625</xdr:rowOff>
        </xdr:from>
        <xdr:to>
          <xdr:col>10</xdr:col>
          <xdr:colOff>819150</xdr:colOff>
          <xdr:row>48</xdr:row>
          <xdr:rowOff>333375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49</xdr:row>
          <xdr:rowOff>47625</xdr:rowOff>
        </xdr:from>
        <xdr:to>
          <xdr:col>10</xdr:col>
          <xdr:colOff>819150</xdr:colOff>
          <xdr:row>49</xdr:row>
          <xdr:rowOff>333375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39</xdr:row>
          <xdr:rowOff>47625</xdr:rowOff>
        </xdr:from>
        <xdr:to>
          <xdr:col>10</xdr:col>
          <xdr:colOff>819150</xdr:colOff>
          <xdr:row>40</xdr:row>
          <xdr:rowOff>0</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45</xdr:row>
          <xdr:rowOff>47625</xdr:rowOff>
        </xdr:from>
        <xdr:to>
          <xdr:col>10</xdr:col>
          <xdr:colOff>819150</xdr:colOff>
          <xdr:row>45</xdr:row>
          <xdr:rowOff>333375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819151</xdr:colOff>
      <xdr:row>4</xdr:row>
      <xdr:rowOff>111905</xdr:rowOff>
    </xdr:from>
    <xdr:to>
      <xdr:col>12</xdr:col>
      <xdr:colOff>866775</xdr:colOff>
      <xdr:row>8</xdr:row>
      <xdr:rowOff>50296</xdr:rowOff>
    </xdr:to>
    <xdr:pic>
      <xdr:nvPicPr>
        <xdr:cNvPr id="4" name="Grafik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9776" y="921530"/>
          <a:ext cx="1676399" cy="728966"/>
        </a:xfrm>
        <a:prstGeom prst="rect">
          <a:avLst/>
        </a:prstGeom>
      </xdr:spPr>
    </xdr:pic>
    <xdr:clientData/>
  </xdr:twoCellAnchor>
  <xdr:twoCellAnchor editAs="oneCell">
    <xdr:from>
      <xdr:col>4</xdr:col>
      <xdr:colOff>190500</xdr:colOff>
      <xdr:row>8</xdr:row>
      <xdr:rowOff>114299</xdr:rowOff>
    </xdr:from>
    <xdr:to>
      <xdr:col>4</xdr:col>
      <xdr:colOff>590310</xdr:colOff>
      <xdr:row>10</xdr:row>
      <xdr:rowOff>172978</xdr:rowOff>
    </xdr:to>
    <xdr:pic>
      <xdr:nvPicPr>
        <xdr:cNvPr id="19" name="Grafik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5150" y="1523999"/>
          <a:ext cx="399810" cy="458729"/>
        </a:xfrm>
        <a:prstGeom prst="rect">
          <a:avLst/>
        </a:prstGeom>
      </xdr:spPr>
    </xdr:pic>
    <xdr:clientData/>
  </xdr:twoCellAnchor>
  <xdr:twoCellAnchor editAs="oneCell">
    <xdr:from>
      <xdr:col>2</xdr:col>
      <xdr:colOff>352425</xdr:colOff>
      <xdr:row>7</xdr:row>
      <xdr:rowOff>19049</xdr:rowOff>
    </xdr:from>
    <xdr:to>
      <xdr:col>2</xdr:col>
      <xdr:colOff>1274543</xdr:colOff>
      <xdr:row>22</xdr:row>
      <xdr:rowOff>80599</xdr:rowOff>
    </xdr:to>
    <xdr:pic>
      <xdr:nvPicPr>
        <xdr:cNvPr id="20" name="Grafik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2950" y="1228724"/>
          <a:ext cx="922118" cy="2966675"/>
        </a:xfrm>
        <a:prstGeom prst="rect">
          <a:avLst/>
        </a:prstGeom>
      </xdr:spPr>
    </xdr:pic>
    <xdr:clientData/>
  </xdr:twoCellAnchor>
  <xdr:twoCellAnchor editAs="oneCell">
    <xdr:from>
      <xdr:col>4</xdr:col>
      <xdr:colOff>171451</xdr:colOff>
      <xdr:row>16</xdr:row>
      <xdr:rowOff>91060</xdr:rowOff>
    </xdr:from>
    <xdr:to>
      <xdr:col>4</xdr:col>
      <xdr:colOff>571501</xdr:colOff>
      <xdr:row>18</xdr:row>
      <xdr:rowOff>110110</xdr:rowOff>
    </xdr:to>
    <xdr:pic>
      <xdr:nvPicPr>
        <xdr:cNvPr id="22" name="Grafik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6101" y="3253360"/>
          <a:ext cx="400050" cy="400050"/>
        </a:xfrm>
        <a:prstGeom prst="rect">
          <a:avLst/>
        </a:prstGeom>
      </xdr:spPr>
    </xdr:pic>
    <xdr:clientData/>
  </xdr:twoCellAnchor>
  <xdr:twoCellAnchor editAs="oneCell">
    <xdr:from>
      <xdr:col>1</xdr:col>
      <xdr:colOff>66676</xdr:colOff>
      <xdr:row>25</xdr:row>
      <xdr:rowOff>57150</xdr:rowOff>
    </xdr:from>
    <xdr:to>
      <xdr:col>2</xdr:col>
      <xdr:colOff>465690</xdr:colOff>
      <xdr:row>27</xdr:row>
      <xdr:rowOff>104774</xdr:rowOff>
    </xdr:to>
    <xdr:pic>
      <xdr:nvPicPr>
        <xdr:cNvPr id="8" name="Grafik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401" y="5886450"/>
          <a:ext cx="713339" cy="619124"/>
        </a:xfrm>
        <a:prstGeom prst="rect">
          <a:avLst/>
        </a:prstGeom>
      </xdr:spPr>
    </xdr:pic>
    <xdr:clientData/>
  </xdr:twoCellAnchor>
  <xdr:twoCellAnchor editAs="oneCell">
    <xdr:from>
      <xdr:col>4</xdr:col>
      <xdr:colOff>104776</xdr:colOff>
      <xdr:row>30</xdr:row>
      <xdr:rowOff>114299</xdr:rowOff>
    </xdr:from>
    <xdr:to>
      <xdr:col>4</xdr:col>
      <xdr:colOff>638176</xdr:colOff>
      <xdr:row>33</xdr:row>
      <xdr:rowOff>76199</xdr:rowOff>
    </xdr:to>
    <xdr:pic>
      <xdr:nvPicPr>
        <xdr:cNvPr id="9" name="Grafik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19426" y="7058024"/>
          <a:ext cx="533400" cy="533400"/>
        </a:xfrm>
        <a:prstGeom prst="rect">
          <a:avLst/>
        </a:prstGeom>
      </xdr:spPr>
    </xdr:pic>
    <xdr:clientData/>
  </xdr:twoCellAnchor>
</xdr:wsDr>
</file>

<file path=xl/tables/table1.xml><?xml version="1.0" encoding="utf-8"?>
<table xmlns="http://schemas.openxmlformats.org/spreadsheetml/2006/main" id="7" name="Input_Steckdosen_AS21" displayName="Input_Steckdosen_AS21" comment="Eingabe Steckdosen AS-21" ref="C39:K50" headerRowDxfId="53" dataDxfId="51" headerRowBorderDxfId="52">
  <autoFilter ref="C39:K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0:K40">
    <sortCondition descending="1" ref="E3:E14"/>
  </sortState>
  <tableColumns count="9">
    <tableColumn id="1" name="Artikel" totalsRowLabel="Ergebnis" dataDxfId="50" totalsRowDxfId="49"/>
    <tableColumn id="21" name="Link" dataDxfId="48" totalsRowDxfId="47"/>
    <tableColumn id="2" name="Typ" dataDxfId="46" totalsRowDxfId="45"/>
    <tableColumn id="3" name="Spannung" dataDxfId="44" totalsRowDxfId="43"/>
    <tableColumn id="4" name="Strom" dataDxfId="42" totalsRowDxfId="41"/>
    <tableColumn id="5" name="Pole" dataDxfId="40" totalsRowDxfId="39"/>
    <tableColumn id="6" name="Schutzgrad" dataDxfId="38" totalsRowDxfId="37"/>
    <tableColumn id="22" name="Form" dataDxfId="36" totalsRowDxfId="35"/>
    <tableColumn id="8" name="Anzahl" totalsRowFunction="sum" dataDxfId="34" totalsRowDxfId="33"/>
  </tableColumns>
  <tableStyleInfo name="TableStyleMedium9" showFirstColumn="0" showLastColumn="1" showRowStripes="1" showColumnStripes="0"/>
</table>
</file>

<file path=xl/tables/table2.xml><?xml version="1.0" encoding="utf-8"?>
<table xmlns="http://schemas.openxmlformats.org/spreadsheetml/2006/main" id="8" name="Output_Frontblenden_AS21" displayName="Output_Frontblenden_AS21" comment="Ergebnis Frontblenden AS-21" ref="M40:M49" totalsRowShown="0" headerRowDxfId="32" dataDxfId="31" headerRowCellStyle="Abschnitt">
  <autoFilter ref="M40:M49">
    <filterColumn colId="0" hiddenButton="1"/>
  </autoFilter>
  <tableColumns count="1">
    <tableColumn id="1" name="Artikel" dataDxfId="30"/>
  </tableColumns>
  <tableStyleInfo name="TableStyleMedium3" showFirstColumn="0" showLastColumn="0" showRowStripes="1" showColumnStripes="0"/>
</table>
</file>

<file path=xl/tables/table3.xml><?xml version="1.0" encoding="utf-8"?>
<table xmlns="http://schemas.openxmlformats.org/spreadsheetml/2006/main" id="5" name="Setup_Taster" displayName="Setup_Taster" comment="Setup" ref="C23:E30" totalsRowShown="0" headerRowDxfId="29" dataDxfId="28">
  <autoFilter ref="C23:E30">
    <filterColumn colId="0" hiddenButton="1"/>
    <filterColumn colId="1" hiddenButton="1"/>
    <filterColumn colId="2" hiddenButton="1"/>
  </autoFilter>
  <tableColumns count="3">
    <tableColumn id="1" name="Artikel" dataDxfId="27"/>
    <tableColumn id="7" name="Lochgröße" dataDxfId="26"/>
    <tableColumn id="8" name="LochID" dataDxfId="25"/>
  </tableColumns>
  <tableStyleInfo name="TableStyleMedium3" showFirstColumn="0" showLastColumn="0" showRowStripes="1" showColumnStripes="0"/>
</table>
</file>

<file path=xl/tables/table4.xml><?xml version="1.0" encoding="utf-8"?>
<table xmlns="http://schemas.openxmlformats.org/spreadsheetml/2006/main" id="3" name="Setup_Steckdosen" displayName="Setup_Steckdosen" comment="Setup" ref="C2:M19" totalsRowShown="0" headerRowDxfId="24" dataDxfId="23">
  <autoFilter ref="C2:M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Artikel" dataDxfId="22"/>
    <tableColumn id="7" name="Lochgröße" dataDxfId="21"/>
    <tableColumn id="4" name="Typ" dataDxfId="20"/>
    <tableColumn id="2" name="Spannung" dataDxfId="19"/>
    <tableColumn id="3" name="Strom" dataDxfId="18"/>
    <tableColumn id="5" name="Pole" dataDxfId="17"/>
    <tableColumn id="6" name="Schutzgrad" dataDxfId="16"/>
    <tableColumn id="9" name="Merkmal" dataDxfId="15"/>
    <tableColumn id="10" name="AS21" dataDxfId="14"/>
    <tableColumn id="11" name="AS31-vorn" dataDxfId="13"/>
    <tableColumn id="12" name="AS31-hinten" dataDxfId="12"/>
  </tableColumns>
  <tableStyleInfo name="TableStyleMedium10" showFirstColumn="0" showLastColumn="0" showRowStripes="1" showColumnStripes="0"/>
</table>
</file>

<file path=xl/tables/table5.xml><?xml version="1.0" encoding="utf-8"?>
<table xmlns="http://schemas.openxmlformats.org/spreadsheetml/2006/main" id="9" name="Config_Frontblenden" displayName="Config_Frontblenden" comment="Config" ref="B2:I17" totalsRowShown="0" headerRowDxfId="11">
  <autoFilter ref="B2:I1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Artikel"/>
    <tableColumn id="2" name="38x38" dataDxfId="10"/>
    <tableColumn id="3" name="45x45" dataDxfId="9"/>
    <tableColumn id="4" name="60x60" dataDxfId="8"/>
    <tableColumn id="5" name="70x70" dataDxfId="7"/>
    <tableColumn id="6" name="90x90" dataDxfId="6"/>
    <tableColumn id="7" name="ST" dataDxfId="5"/>
    <tableColumn id="8" name="D=22,5" dataDxfId="4"/>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E101"/>
  <sheetViews>
    <sheetView workbookViewId="0">
      <selection activeCell="N12" sqref="N12"/>
    </sheetView>
  </sheetViews>
  <sheetFormatPr baseColWidth="10" defaultRowHeight="15" x14ac:dyDescent="0.25"/>
  <cols>
    <col min="1" max="1" width="1.7109375" customWidth="1"/>
    <col min="2" max="2" width="4.7109375" customWidth="1"/>
  </cols>
  <sheetData>
    <row r="1" spans="1:31" s="39" customFormat="1" ht="8.1" customHeight="1" x14ac:dyDescent="0.25"/>
    <row r="2" spans="1:31" s="63" customFormat="1" x14ac:dyDescent="0.25">
      <c r="A2" s="39"/>
      <c r="B2" s="74"/>
      <c r="C2" s="74"/>
      <c r="D2" s="74"/>
      <c r="E2" s="74"/>
      <c r="F2" s="74"/>
      <c r="G2" s="74"/>
      <c r="H2" s="74"/>
      <c r="I2" s="74"/>
      <c r="J2" s="74"/>
      <c r="K2" s="74"/>
      <c r="L2" s="74"/>
      <c r="M2" s="74"/>
      <c r="N2" s="74"/>
    </row>
    <row r="3" spans="1:31" s="63" customFormat="1" ht="30" customHeight="1" x14ac:dyDescent="0.25">
      <c r="A3" s="39"/>
      <c r="B3" s="74"/>
      <c r="C3" s="80" t="s">
        <v>62</v>
      </c>
      <c r="D3" s="80"/>
      <c r="E3" s="80"/>
      <c r="F3" s="80"/>
      <c r="G3" s="80"/>
      <c r="H3" s="80"/>
      <c r="I3" s="80"/>
      <c r="J3" s="74"/>
      <c r="K3" s="74"/>
      <c r="L3" s="74"/>
      <c r="M3" s="74"/>
      <c r="N3" s="74"/>
    </row>
    <row r="4" spans="1:31" s="63" customFormat="1" x14ac:dyDescent="0.25">
      <c r="A4" s="39"/>
      <c r="B4" s="74"/>
      <c r="C4" s="74"/>
      <c r="D4" s="74"/>
      <c r="E4" s="74"/>
      <c r="F4" s="74"/>
      <c r="G4" s="74"/>
      <c r="H4" s="74"/>
      <c r="I4" s="74"/>
      <c r="J4" s="74"/>
      <c r="K4" s="74"/>
      <c r="L4" s="74"/>
      <c r="M4" s="74"/>
      <c r="N4" s="74"/>
    </row>
    <row r="5" spans="1:31" x14ac:dyDescent="0.25">
      <c r="A5" s="39"/>
      <c r="B5" s="35"/>
      <c r="C5" s="35"/>
      <c r="D5" s="84"/>
      <c r="E5" s="84"/>
      <c r="F5" s="84"/>
      <c r="G5" s="84"/>
      <c r="H5" s="84"/>
      <c r="I5" s="84"/>
      <c r="J5" s="84"/>
      <c r="K5" s="84"/>
      <c r="L5" s="84"/>
      <c r="M5" s="35"/>
      <c r="N5" s="35"/>
      <c r="O5" s="36"/>
      <c r="P5" s="36"/>
      <c r="Q5" s="36"/>
      <c r="R5" s="36"/>
      <c r="S5" s="36"/>
      <c r="T5" s="36"/>
      <c r="U5" s="36"/>
      <c r="V5" s="36"/>
      <c r="W5" s="36"/>
      <c r="X5" s="36"/>
      <c r="Y5" s="36"/>
      <c r="Z5" s="36"/>
      <c r="AA5" s="36"/>
      <c r="AB5" s="36"/>
      <c r="AC5" s="36"/>
      <c r="AD5" s="36"/>
      <c r="AE5" s="36"/>
    </row>
    <row r="6" spans="1:31" x14ac:dyDescent="0.25">
      <c r="A6" s="39"/>
      <c r="B6" s="35"/>
      <c r="C6" s="35"/>
      <c r="D6" s="84"/>
      <c r="E6" s="84"/>
      <c r="F6" s="84"/>
      <c r="G6" s="84"/>
      <c r="H6" s="84"/>
      <c r="I6" s="84"/>
      <c r="J6" s="84"/>
      <c r="K6" s="84"/>
      <c r="L6" s="84"/>
      <c r="M6" s="35"/>
      <c r="N6" s="35"/>
      <c r="O6" s="36"/>
      <c r="P6" s="36"/>
      <c r="Q6" s="36"/>
      <c r="R6" s="36"/>
      <c r="S6" s="36"/>
      <c r="T6" s="36"/>
      <c r="U6" s="36"/>
      <c r="V6" s="36"/>
      <c r="W6" s="36"/>
      <c r="X6" s="36"/>
      <c r="Y6" s="36"/>
      <c r="Z6" s="36"/>
      <c r="AA6" s="36"/>
      <c r="AB6" s="36"/>
      <c r="AC6" s="36"/>
      <c r="AD6" s="36"/>
      <c r="AE6" s="36"/>
    </row>
    <row r="7" spans="1:31" x14ac:dyDescent="0.25">
      <c r="A7" s="39"/>
      <c r="B7" s="35"/>
      <c r="C7" s="35"/>
      <c r="D7" s="84"/>
      <c r="E7" s="84"/>
      <c r="F7" s="84"/>
      <c r="G7" s="84"/>
      <c r="H7" s="84"/>
      <c r="I7" s="84"/>
      <c r="J7" s="84"/>
      <c r="K7" s="84"/>
      <c r="L7" s="84"/>
      <c r="M7" s="35"/>
      <c r="N7" s="35"/>
      <c r="O7" s="36"/>
      <c r="P7" s="36"/>
      <c r="Q7" s="36"/>
      <c r="R7" s="36"/>
      <c r="S7" s="36"/>
      <c r="T7" s="36"/>
      <c r="U7" s="36"/>
      <c r="V7" s="36"/>
      <c r="W7" s="36"/>
      <c r="X7" s="36"/>
      <c r="Y7" s="36"/>
      <c r="Z7" s="36"/>
      <c r="AA7" s="36"/>
      <c r="AB7" s="36"/>
      <c r="AC7" s="36"/>
      <c r="AD7" s="36"/>
      <c r="AE7" s="36"/>
    </row>
    <row r="8" spans="1:31" x14ac:dyDescent="0.25">
      <c r="A8" s="39"/>
      <c r="B8" s="35"/>
      <c r="C8" s="35"/>
      <c r="D8" s="35"/>
      <c r="E8" s="35"/>
      <c r="F8" s="35"/>
      <c r="G8" s="35"/>
      <c r="H8" s="35"/>
      <c r="I8" s="35"/>
      <c r="J8" s="35"/>
      <c r="K8" s="35"/>
      <c r="L8" s="35"/>
      <c r="M8" s="35"/>
      <c r="N8" s="35"/>
      <c r="O8" s="36"/>
      <c r="P8" s="36"/>
      <c r="Q8" s="36"/>
      <c r="R8" s="36"/>
      <c r="S8" s="36"/>
      <c r="T8" s="36"/>
      <c r="U8" s="36"/>
      <c r="V8" s="36"/>
      <c r="W8" s="36"/>
      <c r="X8" s="36"/>
      <c r="Y8" s="36"/>
      <c r="Z8" s="36"/>
      <c r="AA8" s="36"/>
      <c r="AB8" s="36"/>
      <c r="AC8" s="36"/>
      <c r="AD8" s="36"/>
      <c r="AE8" s="36"/>
    </row>
    <row r="9" spans="1:31" x14ac:dyDescent="0.25">
      <c r="A9" s="39"/>
      <c r="B9" s="35"/>
      <c r="C9" s="35"/>
      <c r="D9" s="35"/>
      <c r="E9" s="82" t="s">
        <v>58</v>
      </c>
      <c r="F9" s="82"/>
      <c r="G9" s="82"/>
      <c r="H9" s="35"/>
      <c r="I9" s="83" t="s">
        <v>59</v>
      </c>
      <c r="J9" s="83"/>
      <c r="K9" s="83"/>
      <c r="L9" s="35"/>
      <c r="M9" s="35"/>
      <c r="N9" s="35"/>
      <c r="O9" s="36"/>
      <c r="P9" s="36"/>
      <c r="Q9" s="36"/>
      <c r="R9" s="36"/>
      <c r="S9" s="36"/>
      <c r="T9" s="36"/>
      <c r="U9" s="36"/>
      <c r="V9" s="36"/>
      <c r="W9" s="36"/>
      <c r="X9" s="36"/>
      <c r="Y9" s="36"/>
      <c r="Z9" s="36"/>
      <c r="AA9" s="36"/>
      <c r="AB9" s="36"/>
      <c r="AC9" s="36"/>
      <c r="AD9" s="36"/>
      <c r="AE9" s="36"/>
    </row>
    <row r="10" spans="1:31" x14ac:dyDescent="0.25">
      <c r="A10" s="39"/>
      <c r="B10" s="35"/>
      <c r="C10" s="35"/>
      <c r="D10" s="35"/>
      <c r="E10" s="82"/>
      <c r="F10" s="82"/>
      <c r="G10" s="82"/>
      <c r="H10" s="35"/>
      <c r="I10" s="83"/>
      <c r="J10" s="83"/>
      <c r="K10" s="83"/>
      <c r="L10" s="35"/>
      <c r="M10" s="35"/>
      <c r="N10" s="35"/>
      <c r="O10" s="36"/>
      <c r="P10" s="36"/>
      <c r="Q10" s="36"/>
      <c r="R10" s="36"/>
      <c r="S10" s="36"/>
      <c r="T10" s="36"/>
      <c r="U10" s="36"/>
      <c r="V10" s="36"/>
      <c r="W10" s="36"/>
      <c r="X10" s="36"/>
      <c r="Y10" s="36"/>
      <c r="Z10" s="36"/>
      <c r="AA10" s="36"/>
      <c r="AB10" s="36"/>
      <c r="AC10" s="36"/>
      <c r="AD10" s="36"/>
      <c r="AE10" s="36"/>
    </row>
    <row r="11" spans="1:31" x14ac:dyDescent="0.25">
      <c r="A11" s="39"/>
      <c r="B11" s="35"/>
      <c r="C11" s="35"/>
      <c r="D11" s="35"/>
      <c r="E11" s="81"/>
      <c r="F11" s="81"/>
      <c r="G11" s="81"/>
      <c r="H11" s="35"/>
      <c r="I11" s="81"/>
      <c r="J11" s="81"/>
      <c r="K11" s="81"/>
      <c r="L11" s="35"/>
      <c r="M11" s="35"/>
      <c r="N11" s="35"/>
      <c r="O11" s="36"/>
      <c r="P11" s="36"/>
      <c r="Q11" s="36"/>
      <c r="R11" s="36"/>
      <c r="S11" s="36"/>
      <c r="T11" s="36"/>
      <c r="U11" s="36"/>
      <c r="V11" s="36"/>
      <c r="W11" s="36"/>
      <c r="X11" s="36"/>
      <c r="Y11" s="36"/>
      <c r="Z11" s="36"/>
      <c r="AA11" s="36"/>
      <c r="AB11" s="36"/>
      <c r="AC11" s="36"/>
      <c r="AD11" s="36"/>
      <c r="AE11" s="36"/>
    </row>
    <row r="12" spans="1:31" x14ac:dyDescent="0.25">
      <c r="A12" s="39"/>
      <c r="B12" s="35"/>
      <c r="C12" s="35"/>
      <c r="D12" s="35"/>
      <c r="E12" s="81"/>
      <c r="F12" s="81"/>
      <c r="G12" s="81"/>
      <c r="H12" s="35"/>
      <c r="I12" s="81"/>
      <c r="J12" s="81"/>
      <c r="K12" s="81"/>
      <c r="L12" s="35"/>
      <c r="M12" s="35"/>
      <c r="N12" s="35"/>
      <c r="O12" s="36"/>
      <c r="P12" s="36"/>
      <c r="Q12" s="36"/>
      <c r="R12" s="36"/>
      <c r="S12" s="36"/>
      <c r="T12" s="36"/>
      <c r="U12" s="36"/>
      <c r="V12" s="36"/>
      <c r="W12" s="36"/>
      <c r="X12" s="36"/>
      <c r="Y12" s="36"/>
      <c r="Z12" s="36"/>
      <c r="AA12" s="36"/>
      <c r="AB12" s="36"/>
      <c r="AC12" s="36"/>
      <c r="AD12" s="36"/>
      <c r="AE12" s="36"/>
    </row>
    <row r="13" spans="1:31" x14ac:dyDescent="0.25">
      <c r="A13" s="39"/>
      <c r="B13" s="35"/>
      <c r="C13" s="35"/>
      <c r="D13" s="35"/>
      <c r="E13" s="81"/>
      <c r="F13" s="81"/>
      <c r="G13" s="81"/>
      <c r="H13" s="35"/>
      <c r="I13" s="81"/>
      <c r="J13" s="81"/>
      <c r="K13" s="81"/>
      <c r="L13" s="35"/>
      <c r="M13" s="35"/>
      <c r="N13" s="35"/>
      <c r="O13" s="36"/>
      <c r="P13" s="36"/>
      <c r="Q13" s="36"/>
      <c r="R13" s="36"/>
      <c r="S13" s="36"/>
      <c r="T13" s="36"/>
      <c r="U13" s="36"/>
      <c r="V13" s="36"/>
      <c r="W13" s="36"/>
      <c r="X13" s="36"/>
      <c r="Y13" s="36"/>
      <c r="Z13" s="36"/>
      <c r="AA13" s="36"/>
      <c r="AB13" s="36"/>
      <c r="AC13" s="36"/>
      <c r="AD13" s="36"/>
      <c r="AE13" s="36"/>
    </row>
    <row r="14" spans="1:31" x14ac:dyDescent="0.25">
      <c r="A14" s="39"/>
      <c r="B14" s="35"/>
      <c r="C14" s="35"/>
      <c r="D14" s="35"/>
      <c r="E14" s="81"/>
      <c r="F14" s="81"/>
      <c r="G14" s="81"/>
      <c r="H14" s="35"/>
      <c r="I14" s="81"/>
      <c r="J14" s="81"/>
      <c r="K14" s="81"/>
      <c r="L14" s="35"/>
      <c r="M14" s="35"/>
      <c r="N14" s="35"/>
      <c r="O14" s="36"/>
      <c r="P14" s="36"/>
      <c r="Q14" s="36"/>
      <c r="R14" s="36"/>
      <c r="S14" s="36"/>
      <c r="T14" s="36"/>
      <c r="U14" s="36"/>
      <c r="V14" s="36"/>
      <c r="W14" s="36"/>
      <c r="X14" s="36"/>
      <c r="Y14" s="36"/>
      <c r="Z14" s="36"/>
      <c r="AA14" s="36"/>
      <c r="AB14" s="36"/>
      <c r="AC14" s="36"/>
      <c r="AD14" s="36"/>
      <c r="AE14" s="36"/>
    </row>
    <row r="15" spans="1:31" x14ac:dyDescent="0.25">
      <c r="A15" s="39"/>
      <c r="B15" s="35"/>
      <c r="C15" s="35"/>
      <c r="D15" s="35"/>
      <c r="E15" s="81"/>
      <c r="F15" s="81"/>
      <c r="G15" s="81"/>
      <c r="H15" s="35"/>
      <c r="I15" s="81"/>
      <c r="J15" s="81"/>
      <c r="K15" s="81"/>
      <c r="L15" s="35"/>
      <c r="M15" s="35"/>
      <c r="N15" s="35"/>
      <c r="O15" s="36"/>
      <c r="P15" s="36"/>
      <c r="Q15" s="36"/>
      <c r="R15" s="36"/>
      <c r="S15" s="36"/>
      <c r="T15" s="36"/>
      <c r="U15" s="36"/>
      <c r="V15" s="36"/>
      <c r="W15" s="36"/>
      <c r="X15" s="36"/>
      <c r="Y15" s="36"/>
      <c r="Z15" s="36"/>
      <c r="AA15" s="36"/>
      <c r="AB15" s="36"/>
      <c r="AC15" s="36"/>
      <c r="AD15" s="36"/>
      <c r="AE15" s="36"/>
    </row>
    <row r="16" spans="1:31" x14ac:dyDescent="0.25">
      <c r="A16" s="39"/>
      <c r="B16" s="35"/>
      <c r="C16" s="35"/>
      <c r="D16" s="35"/>
      <c r="E16" s="81"/>
      <c r="F16" s="81"/>
      <c r="G16" s="81"/>
      <c r="H16" s="35"/>
      <c r="I16" s="81"/>
      <c r="J16" s="81"/>
      <c r="K16" s="81"/>
      <c r="L16" s="35"/>
      <c r="M16" s="35"/>
      <c r="N16" s="35"/>
      <c r="O16" s="36"/>
      <c r="P16" s="36"/>
      <c r="Q16" s="36"/>
      <c r="R16" s="36"/>
      <c r="S16" s="36"/>
      <c r="T16" s="36"/>
      <c r="U16" s="36"/>
      <c r="V16" s="36"/>
      <c r="W16" s="36"/>
      <c r="X16" s="36"/>
      <c r="Y16" s="36"/>
      <c r="Z16" s="36"/>
      <c r="AA16" s="36"/>
      <c r="AB16" s="36"/>
      <c r="AC16" s="36"/>
      <c r="AD16" s="36"/>
      <c r="AE16" s="36"/>
    </row>
    <row r="17" spans="1:31" x14ac:dyDescent="0.25">
      <c r="A17" s="39"/>
      <c r="B17" s="35"/>
      <c r="C17" s="35"/>
      <c r="D17" s="35"/>
      <c r="E17" s="81"/>
      <c r="F17" s="81"/>
      <c r="G17" s="81"/>
      <c r="H17" s="35"/>
      <c r="I17" s="81"/>
      <c r="J17" s="81"/>
      <c r="K17" s="81"/>
      <c r="L17" s="35"/>
      <c r="M17" s="35"/>
      <c r="N17" s="35"/>
      <c r="O17" s="36"/>
      <c r="P17" s="36"/>
      <c r="Q17" s="36"/>
      <c r="R17" s="36"/>
      <c r="S17" s="36"/>
      <c r="T17" s="36"/>
      <c r="U17" s="36"/>
      <c r="V17" s="36"/>
      <c r="W17" s="36"/>
      <c r="X17" s="36"/>
      <c r="Y17" s="36"/>
      <c r="Z17" s="36"/>
      <c r="AA17" s="36"/>
      <c r="AB17" s="36"/>
      <c r="AC17" s="36"/>
      <c r="AD17" s="36"/>
      <c r="AE17" s="36"/>
    </row>
    <row r="18" spans="1:31" x14ac:dyDescent="0.25">
      <c r="A18" s="39"/>
      <c r="B18" s="35"/>
      <c r="C18" s="35"/>
      <c r="D18" s="35"/>
      <c r="E18" s="81"/>
      <c r="F18" s="81"/>
      <c r="G18" s="81"/>
      <c r="H18" s="35"/>
      <c r="I18" s="81"/>
      <c r="J18" s="81"/>
      <c r="K18" s="81"/>
      <c r="L18" s="35"/>
      <c r="M18" s="35"/>
      <c r="N18" s="35"/>
      <c r="O18" s="36"/>
      <c r="P18" s="36"/>
      <c r="Q18" s="36"/>
      <c r="R18" s="36"/>
      <c r="S18" s="36"/>
      <c r="T18" s="36"/>
      <c r="U18" s="36"/>
      <c r="V18" s="36"/>
      <c r="W18" s="36"/>
      <c r="X18" s="36"/>
      <c r="Y18" s="36"/>
      <c r="Z18" s="36"/>
      <c r="AA18" s="36"/>
      <c r="AB18" s="36"/>
      <c r="AC18" s="36"/>
      <c r="AD18" s="36"/>
      <c r="AE18" s="36"/>
    </row>
    <row r="19" spans="1:31" x14ac:dyDescent="0.25">
      <c r="A19" s="39"/>
      <c r="B19" s="35"/>
      <c r="C19" s="35"/>
      <c r="D19" s="35"/>
      <c r="E19" s="81"/>
      <c r="F19" s="81"/>
      <c r="G19" s="81"/>
      <c r="H19" s="35"/>
      <c r="I19" s="81"/>
      <c r="J19" s="81"/>
      <c r="K19" s="81"/>
      <c r="L19" s="35"/>
      <c r="M19" s="35"/>
      <c r="N19" s="35"/>
      <c r="O19" s="36"/>
      <c r="P19" s="36"/>
      <c r="Q19" s="36"/>
      <c r="R19" s="36"/>
      <c r="S19" s="36"/>
      <c r="T19" s="36"/>
      <c r="U19" s="36"/>
      <c r="V19" s="36"/>
      <c r="W19" s="36"/>
      <c r="X19" s="36"/>
      <c r="Y19" s="36"/>
      <c r="Z19" s="36"/>
      <c r="AA19" s="36"/>
      <c r="AB19" s="36"/>
      <c r="AC19" s="36"/>
      <c r="AD19" s="36"/>
      <c r="AE19" s="36"/>
    </row>
    <row r="20" spans="1:31" x14ac:dyDescent="0.25">
      <c r="A20" s="39"/>
      <c r="B20" s="35"/>
      <c r="C20" s="35"/>
      <c r="D20" s="35"/>
      <c r="E20" s="81"/>
      <c r="F20" s="81"/>
      <c r="G20" s="81"/>
      <c r="H20" s="35"/>
      <c r="I20" s="81"/>
      <c r="J20" s="81"/>
      <c r="K20" s="81"/>
      <c r="L20" s="35"/>
      <c r="M20" s="35"/>
      <c r="N20" s="35"/>
      <c r="O20" s="36"/>
      <c r="P20" s="36"/>
      <c r="Q20" s="36"/>
      <c r="R20" s="36"/>
      <c r="S20" s="36"/>
      <c r="T20" s="36"/>
      <c r="U20" s="36"/>
      <c r="V20" s="36"/>
      <c r="W20" s="36"/>
      <c r="X20" s="36"/>
      <c r="Y20" s="36"/>
      <c r="Z20" s="36"/>
      <c r="AA20" s="36"/>
      <c r="AB20" s="36"/>
      <c r="AC20" s="36"/>
      <c r="AD20" s="36"/>
      <c r="AE20" s="36"/>
    </row>
    <row r="21" spans="1:31" x14ac:dyDescent="0.25">
      <c r="A21" s="39"/>
      <c r="B21" s="35"/>
      <c r="C21" s="35"/>
      <c r="D21" s="35"/>
      <c r="E21" s="81"/>
      <c r="F21" s="81"/>
      <c r="G21" s="81"/>
      <c r="H21" s="35"/>
      <c r="I21" s="81"/>
      <c r="J21" s="81"/>
      <c r="K21" s="81"/>
      <c r="L21" s="35"/>
      <c r="M21" s="35"/>
      <c r="N21" s="35"/>
      <c r="O21" s="36"/>
      <c r="P21" s="36"/>
      <c r="Q21" s="36"/>
      <c r="R21" s="36"/>
      <c r="S21" s="36"/>
      <c r="T21" s="36"/>
      <c r="U21" s="36"/>
      <c r="V21" s="36"/>
      <c r="W21" s="36"/>
      <c r="X21" s="36"/>
      <c r="Y21" s="36"/>
      <c r="Z21" s="36"/>
      <c r="AA21" s="36"/>
      <c r="AB21" s="36"/>
      <c r="AC21" s="36"/>
      <c r="AD21" s="36"/>
      <c r="AE21" s="36"/>
    </row>
    <row r="22" spans="1:31" x14ac:dyDescent="0.25">
      <c r="A22" s="39"/>
      <c r="B22" s="35"/>
      <c r="C22" s="35"/>
      <c r="D22" s="35"/>
      <c r="E22" s="81"/>
      <c r="F22" s="81"/>
      <c r="G22" s="81"/>
      <c r="H22" s="35"/>
      <c r="I22" s="81"/>
      <c r="J22" s="81"/>
      <c r="K22" s="81"/>
      <c r="L22" s="35"/>
      <c r="M22" s="35"/>
      <c r="N22" s="35"/>
      <c r="O22" s="36"/>
      <c r="P22" s="36"/>
      <c r="Q22" s="36"/>
      <c r="R22" s="36"/>
      <c r="S22" s="36"/>
      <c r="T22" s="36"/>
      <c r="U22" s="36"/>
      <c r="V22" s="36"/>
      <c r="W22" s="36"/>
      <c r="X22" s="36"/>
      <c r="Y22" s="36"/>
      <c r="Z22" s="36"/>
      <c r="AA22" s="36"/>
      <c r="AB22" s="36"/>
      <c r="AC22" s="36"/>
      <c r="AD22" s="36"/>
      <c r="AE22" s="36"/>
    </row>
    <row r="23" spans="1:31" x14ac:dyDescent="0.25">
      <c r="A23" s="39"/>
      <c r="B23" s="35"/>
      <c r="C23" s="35"/>
      <c r="D23" s="35"/>
      <c r="E23" s="81"/>
      <c r="F23" s="81"/>
      <c r="G23" s="81"/>
      <c r="H23" s="35"/>
      <c r="I23" s="81"/>
      <c r="J23" s="81"/>
      <c r="K23" s="81"/>
      <c r="L23" s="35"/>
      <c r="M23" s="35"/>
      <c r="N23" s="35"/>
      <c r="O23" s="36"/>
      <c r="P23" s="36"/>
      <c r="Q23" s="36"/>
      <c r="R23" s="36"/>
      <c r="S23" s="36"/>
      <c r="T23" s="36"/>
      <c r="U23" s="36"/>
      <c r="V23" s="36"/>
      <c r="W23" s="36"/>
      <c r="X23" s="36"/>
      <c r="Y23" s="36"/>
      <c r="Z23" s="36"/>
      <c r="AA23" s="36"/>
      <c r="AB23" s="36"/>
      <c r="AC23" s="36"/>
      <c r="AD23" s="36"/>
      <c r="AE23" s="36"/>
    </row>
    <row r="24" spans="1:31" x14ac:dyDescent="0.25">
      <c r="A24" s="39"/>
      <c r="B24" s="35"/>
      <c r="C24" s="35"/>
      <c r="D24" s="35"/>
      <c r="E24" s="81"/>
      <c r="F24" s="81"/>
      <c r="G24" s="81"/>
      <c r="H24" s="35"/>
      <c r="I24" s="81"/>
      <c r="J24" s="81"/>
      <c r="K24" s="81"/>
      <c r="L24" s="35"/>
      <c r="M24" s="35"/>
      <c r="N24" s="35"/>
      <c r="O24" s="36"/>
      <c r="P24" s="36"/>
      <c r="Q24" s="36"/>
      <c r="R24" s="36"/>
      <c r="S24" s="36"/>
      <c r="T24" s="36"/>
      <c r="U24" s="36"/>
      <c r="V24" s="36"/>
      <c r="W24" s="36"/>
      <c r="X24" s="36"/>
      <c r="Y24" s="36"/>
      <c r="Z24" s="36"/>
      <c r="AA24" s="36"/>
      <c r="AB24" s="36"/>
      <c r="AC24" s="36"/>
      <c r="AD24" s="36"/>
      <c r="AE24" s="36"/>
    </row>
    <row r="25" spans="1:31" x14ac:dyDescent="0.25">
      <c r="A25" s="39"/>
      <c r="B25" s="35"/>
      <c r="C25" s="35"/>
      <c r="D25" s="35"/>
      <c r="E25" s="81"/>
      <c r="F25" s="81"/>
      <c r="G25" s="81"/>
      <c r="H25" s="35"/>
      <c r="I25" s="81"/>
      <c r="J25" s="81"/>
      <c r="K25" s="81"/>
      <c r="L25" s="35"/>
      <c r="M25" s="35"/>
      <c r="N25" s="35"/>
      <c r="O25" s="36"/>
      <c r="P25" s="36"/>
      <c r="Q25" s="36"/>
      <c r="R25" s="36"/>
      <c r="S25" s="36"/>
      <c r="T25" s="36"/>
      <c r="U25" s="36"/>
      <c r="V25" s="36"/>
      <c r="W25" s="36"/>
      <c r="X25" s="36"/>
      <c r="Y25" s="36"/>
      <c r="Z25" s="36"/>
      <c r="AA25" s="36"/>
      <c r="AB25" s="36"/>
      <c r="AC25" s="36"/>
      <c r="AD25" s="36"/>
      <c r="AE25" s="36"/>
    </row>
    <row r="26" spans="1:31" x14ac:dyDescent="0.25">
      <c r="A26" s="39"/>
      <c r="B26" s="35"/>
      <c r="C26" s="35"/>
      <c r="D26" s="35"/>
      <c r="E26" s="81"/>
      <c r="F26" s="81"/>
      <c r="G26" s="81"/>
      <c r="H26" s="35"/>
      <c r="I26" s="81"/>
      <c r="J26" s="81"/>
      <c r="K26" s="81"/>
      <c r="L26" s="35"/>
      <c r="M26" s="35"/>
      <c r="N26" s="35"/>
      <c r="O26" s="36"/>
      <c r="P26" s="36"/>
      <c r="Q26" s="36"/>
      <c r="R26" s="36"/>
      <c r="S26" s="36"/>
      <c r="T26" s="36"/>
      <c r="U26" s="36"/>
      <c r="V26" s="36"/>
      <c r="W26" s="36"/>
      <c r="X26" s="36"/>
      <c r="Y26" s="36"/>
      <c r="Z26" s="36"/>
      <c r="AA26" s="36"/>
      <c r="AB26" s="36"/>
      <c r="AC26" s="36"/>
      <c r="AD26" s="36"/>
      <c r="AE26" s="36"/>
    </row>
    <row r="27" spans="1:31" x14ac:dyDescent="0.25">
      <c r="A27" s="39"/>
      <c r="B27" s="35"/>
      <c r="C27" s="35"/>
      <c r="D27" s="35"/>
      <c r="E27" s="81"/>
      <c r="F27" s="81"/>
      <c r="G27" s="81"/>
      <c r="H27" s="35"/>
      <c r="I27" s="81"/>
      <c r="J27" s="81"/>
      <c r="K27" s="81"/>
      <c r="L27" s="35"/>
      <c r="M27" s="35"/>
      <c r="N27" s="35"/>
      <c r="O27" s="36"/>
      <c r="P27" s="36"/>
      <c r="Q27" s="36"/>
      <c r="R27" s="36"/>
      <c r="S27" s="36"/>
      <c r="T27" s="36"/>
      <c r="U27" s="36"/>
      <c r="V27" s="36"/>
      <c r="W27" s="36"/>
      <c r="X27" s="36"/>
      <c r="Y27" s="36"/>
      <c r="Z27" s="36"/>
      <c r="AA27" s="36"/>
      <c r="AB27" s="36"/>
      <c r="AC27" s="36"/>
      <c r="AD27" s="36"/>
      <c r="AE27" s="36"/>
    </row>
    <row r="28" spans="1:31" x14ac:dyDescent="0.25">
      <c r="A28" s="39"/>
      <c r="B28" s="35"/>
      <c r="C28" s="35"/>
      <c r="D28" s="35"/>
      <c r="E28" s="81"/>
      <c r="F28" s="81"/>
      <c r="G28" s="81"/>
      <c r="H28" s="35"/>
      <c r="I28" s="81"/>
      <c r="J28" s="81"/>
      <c r="K28" s="81"/>
      <c r="L28" s="35"/>
      <c r="M28" s="35"/>
      <c r="N28" s="35"/>
      <c r="O28" s="36"/>
      <c r="P28" s="36"/>
      <c r="Q28" s="36"/>
      <c r="R28" s="36"/>
      <c r="S28" s="36"/>
      <c r="T28" s="36"/>
      <c r="U28" s="36"/>
      <c r="V28" s="36"/>
      <c r="W28" s="36"/>
      <c r="X28" s="36"/>
      <c r="Y28" s="36"/>
      <c r="Z28" s="36"/>
      <c r="AA28" s="36"/>
      <c r="AB28" s="36"/>
      <c r="AC28" s="36"/>
      <c r="AD28" s="36"/>
      <c r="AE28" s="36"/>
    </row>
    <row r="29" spans="1:31" x14ac:dyDescent="0.25">
      <c r="A29" s="39"/>
      <c r="B29" s="35"/>
      <c r="C29" s="35"/>
      <c r="D29" s="35"/>
      <c r="E29" s="81"/>
      <c r="F29" s="81"/>
      <c r="G29" s="81"/>
      <c r="H29" s="35"/>
      <c r="I29" s="81"/>
      <c r="J29" s="81"/>
      <c r="K29" s="81"/>
      <c r="L29" s="35"/>
      <c r="M29" s="35"/>
      <c r="N29" s="35"/>
      <c r="O29" s="36"/>
      <c r="P29" s="36"/>
      <c r="Q29" s="36"/>
      <c r="R29" s="36"/>
      <c r="S29" s="36"/>
      <c r="T29" s="36"/>
      <c r="U29" s="36"/>
      <c r="V29" s="36"/>
      <c r="W29" s="36"/>
      <c r="X29" s="36"/>
      <c r="Y29" s="36"/>
      <c r="Z29" s="36"/>
      <c r="AA29" s="36"/>
      <c r="AB29" s="36"/>
      <c r="AC29" s="36"/>
      <c r="AD29" s="36"/>
      <c r="AE29" s="36"/>
    </row>
    <row r="30" spans="1:31" x14ac:dyDescent="0.25">
      <c r="A30" s="39"/>
      <c r="B30" s="35"/>
      <c r="C30" s="35"/>
      <c r="D30" s="35"/>
      <c r="E30" s="81"/>
      <c r="F30" s="81"/>
      <c r="G30" s="81"/>
      <c r="H30" s="35"/>
      <c r="I30" s="81"/>
      <c r="J30" s="81"/>
      <c r="K30" s="81"/>
      <c r="L30" s="35"/>
      <c r="M30" s="35"/>
      <c r="N30" s="35"/>
      <c r="O30" s="36"/>
      <c r="P30" s="36"/>
      <c r="Q30" s="36"/>
      <c r="R30" s="36"/>
      <c r="S30" s="36"/>
      <c r="T30" s="36"/>
      <c r="U30" s="36"/>
      <c r="V30" s="36"/>
      <c r="W30" s="36"/>
      <c r="X30" s="36"/>
      <c r="Y30" s="36"/>
      <c r="Z30" s="36"/>
      <c r="AA30" s="36"/>
      <c r="AB30" s="36"/>
      <c r="AC30" s="36"/>
      <c r="AD30" s="36"/>
      <c r="AE30" s="36"/>
    </row>
    <row r="31" spans="1:31" x14ac:dyDescent="0.25">
      <c r="A31" s="39"/>
      <c r="B31" s="35"/>
      <c r="C31" s="35"/>
      <c r="D31" s="35"/>
      <c r="E31" s="81"/>
      <c r="F31" s="81"/>
      <c r="G31" s="81"/>
      <c r="H31" s="35"/>
      <c r="I31" s="81"/>
      <c r="J31" s="81"/>
      <c r="K31" s="81"/>
      <c r="L31" s="35"/>
      <c r="M31" s="35"/>
      <c r="N31" s="35"/>
      <c r="O31" s="36"/>
      <c r="P31" s="36"/>
      <c r="Q31" s="36"/>
      <c r="R31" s="36"/>
      <c r="S31" s="36"/>
      <c r="T31" s="36"/>
      <c r="U31" s="36"/>
      <c r="V31" s="36"/>
      <c r="W31" s="36"/>
      <c r="X31" s="36"/>
      <c r="Y31" s="36"/>
      <c r="Z31" s="36"/>
      <c r="AA31" s="36"/>
      <c r="AB31" s="36"/>
      <c r="AC31" s="36"/>
      <c r="AD31" s="36"/>
      <c r="AE31" s="36"/>
    </row>
    <row r="32" spans="1:31" x14ac:dyDescent="0.25">
      <c r="A32" s="39"/>
      <c r="B32" s="35"/>
      <c r="C32" s="35"/>
      <c r="D32" s="35"/>
      <c r="E32" s="81"/>
      <c r="F32" s="81"/>
      <c r="G32" s="81"/>
      <c r="H32" s="35"/>
      <c r="I32" s="81"/>
      <c r="J32" s="81"/>
      <c r="K32" s="81"/>
      <c r="L32" s="35"/>
      <c r="M32" s="35"/>
      <c r="N32" s="35"/>
      <c r="O32" s="36"/>
      <c r="P32" s="36"/>
      <c r="Q32" s="36"/>
      <c r="R32" s="36"/>
      <c r="S32" s="36"/>
      <c r="T32" s="36"/>
      <c r="U32" s="36"/>
      <c r="V32" s="36"/>
      <c r="W32" s="36"/>
      <c r="X32" s="36"/>
      <c r="Y32" s="36"/>
      <c r="Z32" s="36"/>
      <c r="AA32" s="36"/>
      <c r="AB32" s="36"/>
      <c r="AC32" s="36"/>
      <c r="AD32" s="36"/>
      <c r="AE32" s="36"/>
    </row>
    <row r="33" spans="1:31" x14ac:dyDescent="0.25">
      <c r="A33" s="39"/>
      <c r="B33" s="35"/>
      <c r="C33" s="35"/>
      <c r="D33" s="35"/>
      <c r="E33" s="81"/>
      <c r="F33" s="81"/>
      <c r="G33" s="81"/>
      <c r="H33" s="35"/>
      <c r="I33" s="81"/>
      <c r="J33" s="81"/>
      <c r="K33" s="81"/>
      <c r="L33" s="35"/>
      <c r="M33" s="35"/>
      <c r="N33" s="35"/>
      <c r="O33" s="36"/>
      <c r="P33" s="36"/>
      <c r="Q33" s="36"/>
      <c r="R33" s="36"/>
      <c r="S33" s="36"/>
      <c r="T33" s="36"/>
      <c r="U33" s="36"/>
      <c r="V33" s="36"/>
      <c r="W33" s="36"/>
      <c r="X33" s="36"/>
      <c r="Y33" s="36"/>
      <c r="Z33" s="36"/>
      <c r="AA33" s="36"/>
      <c r="AB33" s="36"/>
      <c r="AC33" s="36"/>
      <c r="AD33" s="36"/>
      <c r="AE33" s="36"/>
    </row>
    <row r="34" spans="1:31" x14ac:dyDescent="0.25">
      <c r="A34" s="39"/>
      <c r="B34" s="35"/>
      <c r="C34" s="35"/>
      <c r="D34" s="35"/>
      <c r="E34" s="81"/>
      <c r="F34" s="81"/>
      <c r="G34" s="81"/>
      <c r="H34" s="35"/>
      <c r="I34" s="81"/>
      <c r="J34" s="81"/>
      <c r="K34" s="81"/>
      <c r="L34" s="35"/>
      <c r="M34" s="35"/>
      <c r="N34" s="35"/>
      <c r="O34" s="36"/>
      <c r="P34" s="36"/>
      <c r="Q34" s="36"/>
      <c r="R34" s="36"/>
      <c r="S34" s="36"/>
      <c r="T34" s="36"/>
      <c r="U34" s="36"/>
      <c r="V34" s="36"/>
      <c r="W34" s="36"/>
      <c r="X34" s="36"/>
      <c r="Y34" s="36"/>
      <c r="Z34" s="36"/>
      <c r="AA34" s="36"/>
      <c r="AB34" s="36"/>
      <c r="AC34" s="36"/>
      <c r="AD34" s="36"/>
      <c r="AE34" s="36"/>
    </row>
    <row r="35" spans="1:31" x14ac:dyDescent="0.25">
      <c r="A35" s="39"/>
      <c r="B35" s="35"/>
      <c r="C35" s="35"/>
      <c r="D35" s="35"/>
      <c r="E35" s="81"/>
      <c r="F35" s="81"/>
      <c r="G35" s="81"/>
      <c r="H35" s="35"/>
      <c r="I35" s="81"/>
      <c r="J35" s="81"/>
      <c r="K35" s="81"/>
      <c r="L35" s="35"/>
      <c r="M35" s="35"/>
      <c r="N35" s="35"/>
      <c r="O35" s="36"/>
      <c r="P35" s="36"/>
      <c r="Q35" s="36"/>
      <c r="R35" s="36"/>
      <c r="S35" s="36"/>
      <c r="T35" s="36"/>
      <c r="U35" s="36"/>
      <c r="V35" s="36"/>
      <c r="W35" s="36"/>
      <c r="X35" s="36"/>
      <c r="Y35" s="36"/>
      <c r="Z35" s="36"/>
      <c r="AA35" s="36"/>
      <c r="AB35" s="36"/>
      <c r="AC35" s="36"/>
      <c r="AD35" s="36"/>
      <c r="AE35" s="36"/>
    </row>
    <row r="36" spans="1:31" x14ac:dyDescent="0.25">
      <c r="A36" s="39"/>
      <c r="B36" s="35"/>
      <c r="C36" s="35"/>
      <c r="D36" s="35"/>
      <c r="E36" s="81"/>
      <c r="F36" s="81"/>
      <c r="G36" s="81"/>
      <c r="H36" s="35"/>
      <c r="I36" s="81"/>
      <c r="J36" s="81"/>
      <c r="K36" s="81"/>
      <c r="L36" s="35"/>
      <c r="M36" s="35"/>
      <c r="N36" s="35"/>
      <c r="O36" s="36"/>
      <c r="P36" s="36"/>
      <c r="Q36" s="36"/>
      <c r="R36" s="36"/>
      <c r="S36" s="36"/>
      <c r="T36" s="36"/>
      <c r="U36" s="36"/>
      <c r="V36" s="36"/>
      <c r="W36" s="36"/>
      <c r="X36" s="36"/>
      <c r="Y36" s="36"/>
      <c r="Z36" s="36"/>
      <c r="AA36" s="36"/>
      <c r="AB36" s="36"/>
      <c r="AC36" s="36"/>
      <c r="AD36" s="36"/>
      <c r="AE36" s="36"/>
    </row>
    <row r="37" spans="1:31" x14ac:dyDescent="0.25">
      <c r="A37" s="39"/>
      <c r="B37" s="35"/>
      <c r="C37" s="35"/>
      <c r="D37" s="35"/>
      <c r="E37" s="81"/>
      <c r="F37" s="81"/>
      <c r="G37" s="81"/>
      <c r="H37" s="35"/>
      <c r="I37" s="81"/>
      <c r="J37" s="81"/>
      <c r="K37" s="81"/>
      <c r="L37" s="35"/>
      <c r="M37" s="35"/>
      <c r="N37" s="35"/>
      <c r="O37" s="36"/>
      <c r="P37" s="36"/>
      <c r="Q37" s="36"/>
      <c r="R37" s="36"/>
      <c r="S37" s="36"/>
      <c r="T37" s="36"/>
      <c r="U37" s="36"/>
      <c r="V37" s="36"/>
      <c r="W37" s="36"/>
      <c r="X37" s="36"/>
      <c r="Y37" s="36"/>
      <c r="Z37" s="36"/>
      <c r="AA37" s="36"/>
      <c r="AB37" s="36"/>
      <c r="AC37" s="36"/>
      <c r="AD37" s="36"/>
      <c r="AE37" s="36"/>
    </row>
    <row r="38" spans="1:31" x14ac:dyDescent="0.25">
      <c r="A38" s="39"/>
      <c r="B38" s="35"/>
      <c r="C38" s="35"/>
      <c r="D38" s="35"/>
      <c r="E38" s="81"/>
      <c r="F38" s="81"/>
      <c r="G38" s="81"/>
      <c r="H38" s="35"/>
      <c r="I38" s="81"/>
      <c r="J38" s="81"/>
      <c r="K38" s="81"/>
      <c r="L38" s="35"/>
      <c r="M38" s="35"/>
      <c r="N38" s="35"/>
      <c r="O38" s="36"/>
      <c r="P38" s="36"/>
      <c r="Q38" s="36"/>
      <c r="R38" s="36"/>
      <c r="S38" s="36"/>
      <c r="T38" s="36"/>
      <c r="U38" s="36"/>
      <c r="V38" s="36"/>
      <c r="W38" s="36"/>
      <c r="X38" s="36"/>
      <c r="Y38" s="36"/>
      <c r="Z38" s="36"/>
      <c r="AA38" s="36"/>
      <c r="AB38" s="36"/>
      <c r="AC38" s="36"/>
      <c r="AD38" s="36"/>
      <c r="AE38" s="36"/>
    </row>
    <row r="39" spans="1:31" x14ac:dyDescent="0.25">
      <c r="A39" s="39"/>
      <c r="B39" s="35"/>
      <c r="C39" s="35"/>
      <c r="D39" s="35"/>
      <c r="E39" s="81"/>
      <c r="F39" s="81"/>
      <c r="G39" s="81"/>
      <c r="H39" s="35"/>
      <c r="I39" s="81"/>
      <c r="J39" s="81"/>
      <c r="K39" s="81"/>
      <c r="L39" s="35"/>
      <c r="M39" s="35"/>
      <c r="N39" s="35"/>
      <c r="O39" s="36"/>
      <c r="P39" s="36"/>
      <c r="Q39" s="36"/>
      <c r="R39" s="36"/>
      <c r="S39" s="36"/>
      <c r="T39" s="36"/>
      <c r="U39" s="36"/>
      <c r="V39" s="36"/>
      <c r="W39" s="36"/>
      <c r="X39" s="36"/>
      <c r="Y39" s="36"/>
      <c r="Z39" s="36"/>
      <c r="AA39" s="36"/>
      <c r="AB39" s="36"/>
      <c r="AC39" s="36"/>
      <c r="AD39" s="36"/>
      <c r="AE39" s="36"/>
    </row>
    <row r="40" spans="1:31" x14ac:dyDescent="0.25">
      <c r="A40" s="39"/>
      <c r="B40" s="35"/>
      <c r="C40" s="35"/>
      <c r="D40" s="35"/>
      <c r="E40" s="81"/>
      <c r="F40" s="81"/>
      <c r="G40" s="81"/>
      <c r="H40" s="35"/>
      <c r="I40" s="81"/>
      <c r="J40" s="81"/>
      <c r="K40" s="81"/>
      <c r="L40" s="35"/>
      <c r="M40" s="35"/>
      <c r="N40" s="35"/>
      <c r="O40" s="36"/>
      <c r="P40" s="36"/>
      <c r="Q40" s="36"/>
      <c r="R40" s="36"/>
      <c r="S40" s="36"/>
      <c r="T40" s="36"/>
      <c r="U40" s="36"/>
      <c r="V40" s="36"/>
      <c r="W40" s="36"/>
      <c r="X40" s="36"/>
      <c r="Y40" s="36"/>
      <c r="Z40" s="36"/>
      <c r="AA40" s="36"/>
      <c r="AB40" s="36"/>
      <c r="AC40" s="36"/>
      <c r="AD40" s="36"/>
      <c r="AE40" s="36"/>
    </row>
    <row r="41" spans="1:31" x14ac:dyDescent="0.25">
      <c r="A41" s="39"/>
      <c r="B41" s="35"/>
      <c r="C41" s="35"/>
      <c r="D41" s="35"/>
      <c r="E41" s="81"/>
      <c r="F41" s="81"/>
      <c r="G41" s="81"/>
      <c r="H41" s="35"/>
      <c r="I41" s="81"/>
      <c r="J41" s="81"/>
      <c r="K41" s="81"/>
      <c r="L41" s="35"/>
      <c r="M41" s="35"/>
      <c r="N41" s="35"/>
      <c r="O41" s="36"/>
      <c r="P41" s="36"/>
      <c r="Q41" s="36"/>
      <c r="R41" s="36"/>
      <c r="S41" s="36"/>
      <c r="T41" s="36"/>
      <c r="U41" s="36"/>
      <c r="V41" s="36"/>
      <c r="W41" s="36"/>
      <c r="X41" s="36"/>
      <c r="Y41" s="36"/>
      <c r="Z41" s="36"/>
      <c r="AA41" s="36"/>
      <c r="AB41" s="36"/>
      <c r="AC41" s="36"/>
      <c r="AD41" s="36"/>
      <c r="AE41" s="36"/>
    </row>
    <row r="42" spans="1:31" x14ac:dyDescent="0.25">
      <c r="A42" s="39"/>
      <c r="B42" s="35"/>
      <c r="C42" s="35"/>
      <c r="D42" s="35"/>
      <c r="E42" s="35"/>
      <c r="F42" s="35"/>
      <c r="G42" s="35"/>
      <c r="H42" s="35"/>
      <c r="I42" s="35"/>
      <c r="J42" s="35"/>
      <c r="K42" s="35"/>
      <c r="L42" s="35"/>
      <c r="M42" s="35"/>
      <c r="N42" s="35"/>
      <c r="O42" s="36"/>
      <c r="P42" s="36"/>
      <c r="Q42" s="36"/>
      <c r="R42" s="36"/>
      <c r="S42" s="36"/>
      <c r="T42" s="36"/>
      <c r="U42" s="36"/>
      <c r="V42" s="36"/>
      <c r="W42" s="36"/>
      <c r="X42" s="36"/>
      <c r="Y42" s="36"/>
      <c r="Z42" s="36"/>
      <c r="AA42" s="36"/>
      <c r="AB42" s="36"/>
      <c r="AC42" s="36"/>
      <c r="AD42" s="36"/>
      <c r="AE42" s="36"/>
    </row>
    <row r="43" spans="1:31" x14ac:dyDescent="0.25">
      <c r="A43" s="39"/>
      <c r="B43" s="35"/>
      <c r="C43" s="35"/>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6"/>
    </row>
    <row r="44" spans="1:31" x14ac:dyDescent="0.25">
      <c r="A44" s="39"/>
      <c r="B44" s="35"/>
      <c r="C44" s="35"/>
      <c r="D44" s="35"/>
      <c r="E44" s="35"/>
      <c r="F44" s="35"/>
      <c r="G44" s="35"/>
      <c r="H44" s="35"/>
      <c r="I44" s="35"/>
      <c r="J44" s="35"/>
      <c r="K44" s="35"/>
      <c r="L44" s="35"/>
      <c r="M44" s="35"/>
      <c r="N44" s="35"/>
      <c r="O44" s="36"/>
      <c r="P44" s="36"/>
      <c r="Q44" s="36"/>
      <c r="R44" s="36"/>
      <c r="S44" s="36"/>
      <c r="T44" s="36"/>
      <c r="U44" s="36"/>
      <c r="V44" s="36"/>
      <c r="W44" s="36"/>
      <c r="X44" s="36"/>
      <c r="Y44" s="36"/>
      <c r="Z44" s="36"/>
      <c r="AA44" s="36"/>
      <c r="AB44" s="36"/>
      <c r="AC44" s="36"/>
      <c r="AD44" s="36"/>
      <c r="AE44" s="36"/>
    </row>
    <row r="45" spans="1:31" x14ac:dyDescent="0.25">
      <c r="A45" s="39"/>
      <c r="B45" s="35"/>
      <c r="C45" s="35"/>
      <c r="D45" s="35"/>
      <c r="E45" s="35"/>
      <c r="F45" s="35"/>
      <c r="G45" s="35"/>
      <c r="H45" s="35"/>
      <c r="I45" s="35"/>
      <c r="J45" s="35"/>
      <c r="K45" s="35"/>
      <c r="L45" s="35"/>
      <c r="M45" s="35"/>
      <c r="N45" s="35"/>
      <c r="O45" s="36"/>
      <c r="P45" s="36"/>
      <c r="Q45" s="36"/>
      <c r="R45" s="36"/>
      <c r="S45" s="36"/>
      <c r="T45" s="36"/>
      <c r="U45" s="36"/>
      <c r="V45" s="36"/>
      <c r="W45" s="36"/>
      <c r="X45" s="36"/>
      <c r="Y45" s="36"/>
      <c r="Z45" s="36"/>
      <c r="AA45" s="36"/>
      <c r="AB45" s="36"/>
      <c r="AC45" s="36"/>
      <c r="AD45" s="36"/>
      <c r="AE45" s="36"/>
    </row>
    <row r="46" spans="1:31" x14ac:dyDescent="0.25">
      <c r="A46" s="39"/>
      <c r="B46" s="35"/>
      <c r="C46" s="35"/>
      <c r="D46" s="35"/>
      <c r="E46" s="35"/>
      <c r="F46" s="35"/>
      <c r="G46" s="35"/>
      <c r="H46" s="35"/>
      <c r="I46" s="35"/>
      <c r="J46" s="35"/>
      <c r="K46" s="35"/>
      <c r="L46" s="35"/>
      <c r="M46" s="35"/>
      <c r="N46" s="35"/>
      <c r="O46" s="36"/>
      <c r="P46" s="36"/>
      <c r="Q46" s="36"/>
      <c r="R46" s="36"/>
      <c r="S46" s="36"/>
      <c r="T46" s="36"/>
      <c r="U46" s="36"/>
      <c r="V46" s="36"/>
      <c r="W46" s="36"/>
      <c r="X46" s="36"/>
      <c r="Y46" s="36"/>
      <c r="Z46" s="36"/>
      <c r="AA46" s="36"/>
      <c r="AB46" s="36"/>
      <c r="AC46" s="36"/>
      <c r="AD46" s="36"/>
      <c r="AE46" s="36"/>
    </row>
    <row r="47" spans="1:31" x14ac:dyDescent="0.25">
      <c r="A47" s="39"/>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row>
    <row r="48" spans="1:31" x14ac:dyDescent="0.25">
      <c r="A48" s="39"/>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row>
    <row r="62" spans="1:1" x14ac:dyDescent="0.25">
      <c r="A62" s="39"/>
    </row>
    <row r="63" spans="1:1" x14ac:dyDescent="0.25">
      <c r="A63" s="39"/>
    </row>
    <row r="64" spans="1:1" x14ac:dyDescent="0.25">
      <c r="A64" s="39"/>
    </row>
    <row r="65" spans="1:1" x14ac:dyDescent="0.25">
      <c r="A65" s="39"/>
    </row>
    <row r="66" spans="1:1" x14ac:dyDescent="0.25">
      <c r="A66" s="39"/>
    </row>
    <row r="67" spans="1:1" x14ac:dyDescent="0.25">
      <c r="A67" s="39"/>
    </row>
    <row r="68" spans="1:1" x14ac:dyDescent="0.25">
      <c r="A68" s="39"/>
    </row>
    <row r="69" spans="1:1" x14ac:dyDescent="0.25">
      <c r="A69" s="39"/>
    </row>
    <row r="70" spans="1:1" x14ac:dyDescent="0.25">
      <c r="A70" s="39"/>
    </row>
    <row r="71" spans="1:1" x14ac:dyDescent="0.25">
      <c r="A71" s="39"/>
    </row>
    <row r="72" spans="1:1" x14ac:dyDescent="0.25">
      <c r="A72" s="39"/>
    </row>
    <row r="73" spans="1:1" x14ac:dyDescent="0.25">
      <c r="A73" s="39"/>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row>
  </sheetData>
  <mergeCells count="6">
    <mergeCell ref="C3:I3"/>
    <mergeCell ref="E11:G41"/>
    <mergeCell ref="I11:K41"/>
    <mergeCell ref="E9:G10"/>
    <mergeCell ref="I9:K10"/>
    <mergeCell ref="D5:L7"/>
  </mergeCells>
  <hyperlinks>
    <hyperlink ref="E9:G10" location="'AS-21'!A1" display="AS-21"/>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S21"/>
  <dimension ref="A1:AF94"/>
  <sheetViews>
    <sheetView topLeftCell="A31" zoomScaleNormal="100" workbookViewId="0">
      <selection activeCell="K62" sqref="K62"/>
    </sheetView>
  </sheetViews>
  <sheetFormatPr baseColWidth="10" defaultRowHeight="15" x14ac:dyDescent="0.25"/>
  <cols>
    <col min="1" max="1" width="1.7109375" style="36" customWidth="1"/>
    <col min="2" max="2" width="4.7109375" customWidth="1"/>
    <col min="3" max="3" width="24.42578125" customWidth="1"/>
    <col min="4" max="4" width="9.28515625" customWidth="1"/>
    <col min="5" max="5" width="10.7109375" customWidth="1"/>
    <col min="6" max="6" width="16.28515625" customWidth="1"/>
    <col min="7" max="7" width="13" customWidth="1"/>
    <col min="8" max="8" width="11.5703125" customWidth="1"/>
    <col min="9" max="9" width="15.5703125" customWidth="1"/>
    <col min="10" max="10" width="13.140625" customWidth="1"/>
    <col min="11" max="11" width="13" customWidth="1"/>
    <col min="13" max="13" width="29.5703125" customWidth="1"/>
    <col min="14" max="14" width="6.7109375" bestFit="1" customWidth="1"/>
    <col min="15" max="15" width="14.7109375" bestFit="1" customWidth="1"/>
    <col min="16" max="16" width="11.5703125" bestFit="1" customWidth="1"/>
    <col min="17" max="17" width="13.140625" customWidth="1"/>
  </cols>
  <sheetData>
    <row r="1" spans="1:32" s="39" customFormat="1" ht="8.1" customHeight="1" x14ac:dyDescent="0.25"/>
    <row r="2" spans="1:32" s="37" customFormat="1" x14ac:dyDescent="0.25">
      <c r="A2" s="39"/>
    </row>
    <row r="3" spans="1:32" s="38" customFormat="1" ht="30" customHeight="1" x14ac:dyDescent="0.25">
      <c r="A3" s="42"/>
      <c r="C3" s="75" t="s">
        <v>63</v>
      </c>
      <c r="D3" s="75"/>
      <c r="E3" s="75"/>
      <c r="F3" s="75"/>
      <c r="G3" s="75"/>
      <c r="H3" s="75"/>
    </row>
    <row r="4" spans="1:32" s="38" customFormat="1" ht="15" customHeight="1" x14ac:dyDescent="0.25">
      <c r="A4" s="42"/>
      <c r="C4" s="64"/>
      <c r="D4" s="64"/>
      <c r="E4" s="64"/>
      <c r="F4" s="64"/>
      <c r="G4" s="64"/>
      <c r="H4" s="64"/>
    </row>
    <row r="5" spans="1:32" x14ac:dyDescent="0.25">
      <c r="A5" s="39"/>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row>
    <row r="6" spans="1:32" ht="15.75" thickBot="1" x14ac:dyDescent="0.3">
      <c r="A6" s="39"/>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c r="AD6" s="44"/>
      <c r="AE6" s="44"/>
      <c r="AF6" s="44"/>
    </row>
    <row r="7" spans="1:32" ht="15.75" thickTop="1" x14ac:dyDescent="0.25">
      <c r="A7" s="39"/>
      <c r="B7" s="43"/>
      <c r="C7" s="85"/>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row>
    <row r="8" spans="1:32" ht="15.75" thickBot="1" x14ac:dyDescent="0.3">
      <c r="A8" s="39"/>
      <c r="B8" s="43"/>
      <c r="C8" s="86"/>
      <c r="D8" s="44"/>
      <c r="E8" s="44"/>
      <c r="F8" s="44"/>
      <c r="G8" s="44"/>
      <c r="H8" s="44"/>
      <c r="I8" s="44"/>
      <c r="J8" s="44"/>
      <c r="K8" s="44"/>
      <c r="L8" s="44"/>
      <c r="M8" s="44"/>
      <c r="N8" s="44"/>
      <c r="O8" s="44"/>
      <c r="P8" s="44"/>
      <c r="Q8" s="44"/>
      <c r="R8" s="44"/>
      <c r="S8" s="44"/>
      <c r="T8" s="44"/>
      <c r="U8" s="44"/>
      <c r="V8" s="44"/>
      <c r="W8" s="44"/>
      <c r="X8" s="44"/>
      <c r="Y8" s="44"/>
      <c r="Z8" s="44"/>
      <c r="AA8" s="44"/>
      <c r="AB8" s="44"/>
      <c r="AC8" s="44"/>
      <c r="AD8" s="44"/>
      <c r="AE8" s="44"/>
      <c r="AF8" s="44"/>
    </row>
    <row r="9" spans="1:32" ht="15.75" x14ac:dyDescent="0.25">
      <c r="A9" s="39"/>
      <c r="B9" s="43"/>
      <c r="C9" s="86"/>
      <c r="D9" s="44"/>
      <c r="E9" s="98"/>
      <c r="F9" s="47"/>
      <c r="G9" s="48"/>
      <c r="H9" s="49"/>
      <c r="I9" s="44"/>
      <c r="J9" s="44"/>
      <c r="K9" s="44"/>
      <c r="L9" s="44"/>
      <c r="M9" s="44"/>
      <c r="N9" s="44"/>
      <c r="O9" s="44"/>
      <c r="P9" s="44"/>
      <c r="Q9" s="44"/>
      <c r="R9" s="44"/>
      <c r="S9" s="44"/>
      <c r="T9" s="44"/>
      <c r="U9" s="44"/>
      <c r="V9" s="44"/>
      <c r="W9" s="44"/>
      <c r="X9" s="44"/>
      <c r="Y9" s="44"/>
      <c r="Z9" s="44"/>
      <c r="AA9" s="44"/>
      <c r="AB9" s="44"/>
      <c r="AC9" s="44"/>
      <c r="AD9" s="44"/>
      <c r="AE9" s="44"/>
      <c r="AF9" s="44"/>
    </row>
    <row r="10" spans="1:32" ht="15.75" x14ac:dyDescent="0.25">
      <c r="A10" s="39"/>
      <c r="B10" s="43"/>
      <c r="C10" s="86"/>
      <c r="D10" s="44"/>
      <c r="E10" s="99"/>
      <c r="F10" s="96" t="s">
        <v>64</v>
      </c>
      <c r="G10" s="96"/>
      <c r="H10" s="97"/>
      <c r="I10" s="44"/>
      <c r="J10" s="44"/>
      <c r="K10" s="44"/>
      <c r="L10" s="44"/>
      <c r="M10" s="44"/>
      <c r="N10" s="44"/>
      <c r="O10" s="44"/>
      <c r="P10" s="44"/>
      <c r="Q10" s="44"/>
      <c r="R10" s="44"/>
      <c r="S10" s="44"/>
      <c r="T10" s="44"/>
      <c r="U10" s="44"/>
      <c r="V10" s="44"/>
      <c r="W10" s="44"/>
      <c r="X10" s="44"/>
      <c r="Y10" s="44"/>
      <c r="Z10" s="44"/>
      <c r="AA10" s="44"/>
      <c r="AB10" s="44"/>
      <c r="AC10" s="44"/>
      <c r="AD10" s="44"/>
      <c r="AE10" s="44"/>
      <c r="AF10" s="44"/>
    </row>
    <row r="11" spans="1:32" ht="15.75" x14ac:dyDescent="0.25">
      <c r="A11" s="39"/>
      <c r="B11" s="43"/>
      <c r="C11" s="86"/>
      <c r="D11" s="44"/>
      <c r="E11" s="99"/>
      <c r="F11" s="61" t="s">
        <v>65</v>
      </c>
      <c r="G11" s="41"/>
      <c r="H11" s="50"/>
      <c r="I11" s="44"/>
      <c r="J11" s="44"/>
      <c r="K11" s="44"/>
      <c r="L11" s="44"/>
      <c r="M11" s="44"/>
      <c r="N11" s="44"/>
      <c r="O11" s="44"/>
      <c r="P11" s="44"/>
      <c r="Q11" s="44"/>
      <c r="R11" s="44"/>
      <c r="S11" s="44"/>
      <c r="T11" s="44"/>
      <c r="U11" s="44"/>
      <c r="V11" s="44"/>
      <c r="W11" s="44"/>
      <c r="X11" s="44"/>
      <c r="Y11" s="44"/>
      <c r="Z11" s="44"/>
      <c r="AA11" s="44"/>
      <c r="AB11" s="44"/>
      <c r="AC11" s="44"/>
      <c r="AD11" s="44"/>
      <c r="AE11" s="44"/>
      <c r="AF11" s="44"/>
    </row>
    <row r="12" spans="1:32" ht="15.75" x14ac:dyDescent="0.25">
      <c r="A12" s="39"/>
      <c r="B12" s="43"/>
      <c r="C12" s="86"/>
      <c r="D12" s="44"/>
      <c r="E12" s="99"/>
      <c r="F12" s="62" t="s">
        <v>66</v>
      </c>
      <c r="G12" s="41"/>
      <c r="H12" s="50"/>
      <c r="I12" s="44"/>
      <c r="J12" s="44"/>
      <c r="K12" s="44"/>
      <c r="L12" s="44"/>
      <c r="M12" s="44"/>
      <c r="N12" s="44"/>
      <c r="O12" s="44"/>
      <c r="P12" s="44"/>
      <c r="Q12" s="44"/>
      <c r="R12" s="44"/>
      <c r="S12" s="44"/>
      <c r="T12" s="44"/>
      <c r="U12" s="44"/>
      <c r="V12" s="44"/>
      <c r="W12" s="44"/>
      <c r="X12" s="44"/>
      <c r="Y12" s="44"/>
      <c r="Z12" s="44"/>
      <c r="AA12" s="44"/>
      <c r="AB12" s="44"/>
      <c r="AC12" s="44"/>
      <c r="AD12" s="44"/>
      <c r="AE12" s="44"/>
      <c r="AF12" s="44"/>
    </row>
    <row r="13" spans="1:32" ht="15" customHeight="1" x14ac:dyDescent="0.25">
      <c r="A13" s="39"/>
      <c r="B13" s="43"/>
      <c r="C13" s="86"/>
      <c r="D13" s="44"/>
      <c r="E13" s="99"/>
      <c r="F13" s="62" t="s">
        <v>68</v>
      </c>
      <c r="G13" s="41"/>
      <c r="H13" s="50"/>
      <c r="I13" s="44"/>
      <c r="J13" s="44"/>
      <c r="K13" s="44"/>
      <c r="L13" s="44"/>
      <c r="M13" s="44"/>
      <c r="N13" s="44"/>
      <c r="O13" s="44"/>
      <c r="P13" s="44"/>
      <c r="Q13" s="44"/>
      <c r="R13" s="44"/>
      <c r="S13" s="44"/>
      <c r="T13" s="44"/>
      <c r="U13" s="44"/>
      <c r="V13" s="44"/>
      <c r="W13" s="44"/>
      <c r="X13" s="44"/>
      <c r="Y13" s="44"/>
      <c r="Z13" s="44"/>
      <c r="AA13" s="44"/>
      <c r="AB13" s="44"/>
      <c r="AC13" s="44"/>
      <c r="AD13" s="44"/>
      <c r="AE13" s="44"/>
      <c r="AF13" s="44"/>
    </row>
    <row r="14" spans="1:32" ht="15" customHeight="1" thickBot="1" x14ac:dyDescent="0.3">
      <c r="A14" s="39"/>
      <c r="B14" s="44"/>
      <c r="C14" s="86"/>
      <c r="D14" s="44"/>
      <c r="E14" s="100"/>
      <c r="F14" s="51"/>
      <c r="G14" s="51"/>
      <c r="H14" s="52"/>
      <c r="I14" s="44"/>
      <c r="J14" s="44"/>
      <c r="K14" s="44"/>
      <c r="L14" s="44"/>
      <c r="M14" s="44"/>
      <c r="N14" s="44"/>
      <c r="O14" s="44"/>
      <c r="P14" s="44"/>
      <c r="Q14" s="44"/>
      <c r="R14" s="44"/>
      <c r="S14" s="44"/>
      <c r="T14" s="44"/>
      <c r="U14" s="44"/>
      <c r="V14" s="44"/>
      <c r="W14" s="44"/>
      <c r="X14" s="44"/>
      <c r="Y14" s="44"/>
      <c r="Z14" s="44"/>
      <c r="AA14" s="44"/>
      <c r="AB14" s="44"/>
      <c r="AC14" s="44"/>
      <c r="AD14" s="44"/>
      <c r="AE14" s="44"/>
      <c r="AF14" s="44"/>
    </row>
    <row r="15" spans="1:32" ht="15" customHeight="1" x14ac:dyDescent="0.25">
      <c r="A15" s="39"/>
      <c r="B15" s="44"/>
      <c r="C15" s="86"/>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row>
    <row r="16" spans="1:32" ht="15" customHeight="1" x14ac:dyDescent="0.25">
      <c r="A16" s="39"/>
      <c r="B16" s="44"/>
      <c r="C16" s="86"/>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row>
    <row r="17" spans="1:32" ht="15" customHeight="1" x14ac:dyDescent="0.25">
      <c r="A17" s="39"/>
      <c r="B17" s="44"/>
      <c r="C17" s="86"/>
      <c r="D17" s="44"/>
      <c r="E17" s="90"/>
      <c r="F17" s="54"/>
      <c r="G17" s="54"/>
      <c r="H17" s="55"/>
      <c r="I17" s="44"/>
      <c r="J17" s="44"/>
      <c r="K17" s="44"/>
      <c r="L17" s="44"/>
      <c r="M17" s="44"/>
      <c r="N17" s="44"/>
      <c r="O17" s="44"/>
      <c r="P17" s="44"/>
      <c r="Q17" s="44"/>
      <c r="R17" s="44"/>
      <c r="S17" s="44"/>
      <c r="T17" s="44"/>
      <c r="U17" s="44"/>
      <c r="V17" s="44"/>
      <c r="W17" s="44"/>
      <c r="X17" s="44"/>
      <c r="Y17" s="44"/>
      <c r="Z17" s="44"/>
      <c r="AA17" s="44"/>
      <c r="AB17" s="44"/>
      <c r="AC17" s="44"/>
      <c r="AD17" s="44"/>
      <c r="AE17" s="44"/>
      <c r="AF17" s="44"/>
    </row>
    <row r="18" spans="1:32" ht="15" customHeight="1" x14ac:dyDescent="0.25">
      <c r="A18" s="39"/>
      <c r="B18" s="44"/>
      <c r="C18" s="86"/>
      <c r="D18" s="44"/>
      <c r="E18" s="91"/>
      <c r="F18" s="88" t="s">
        <v>67</v>
      </c>
      <c r="G18" s="88"/>
      <c r="H18" s="89"/>
      <c r="I18" s="44"/>
      <c r="J18" s="44"/>
      <c r="K18" s="44"/>
      <c r="L18" s="44"/>
      <c r="M18" s="44"/>
      <c r="N18" s="44"/>
      <c r="O18" s="44"/>
      <c r="P18" s="44"/>
      <c r="Q18" s="44"/>
      <c r="R18" s="44"/>
      <c r="S18" s="44"/>
      <c r="T18" s="44"/>
      <c r="U18" s="44"/>
      <c r="V18" s="44"/>
      <c r="W18" s="44"/>
      <c r="X18" s="44"/>
      <c r="Y18" s="44"/>
      <c r="Z18" s="44"/>
      <c r="AA18" s="44"/>
      <c r="AB18" s="44"/>
      <c r="AC18" s="44"/>
      <c r="AD18" s="44"/>
      <c r="AE18" s="44"/>
      <c r="AF18" s="44"/>
    </row>
    <row r="19" spans="1:32" ht="15" customHeight="1" x14ac:dyDescent="0.25">
      <c r="A19" s="39"/>
      <c r="B19" s="44"/>
      <c r="C19" s="86"/>
      <c r="D19" s="44"/>
      <c r="E19" s="91"/>
      <c r="F19" s="60" t="s">
        <v>60</v>
      </c>
      <c r="G19" s="56"/>
      <c r="H19" s="57"/>
      <c r="I19" s="44"/>
      <c r="J19" s="44"/>
      <c r="K19" s="44"/>
      <c r="L19" s="44"/>
      <c r="M19" s="44"/>
      <c r="N19" s="44"/>
      <c r="O19" s="44"/>
      <c r="P19" s="44"/>
      <c r="Q19" s="44"/>
      <c r="R19" s="44"/>
      <c r="S19" s="44"/>
      <c r="T19" s="44"/>
      <c r="U19" s="44"/>
      <c r="V19" s="44"/>
      <c r="W19" s="44"/>
      <c r="X19" s="44"/>
      <c r="Y19" s="44"/>
      <c r="Z19" s="44"/>
      <c r="AA19" s="44"/>
      <c r="AB19" s="44"/>
      <c r="AC19" s="44"/>
      <c r="AD19" s="44"/>
      <c r="AE19" s="44"/>
      <c r="AF19" s="44"/>
    </row>
    <row r="20" spans="1:32" ht="15" customHeight="1" x14ac:dyDescent="0.25">
      <c r="A20" s="39"/>
      <c r="B20" s="44"/>
      <c r="C20" s="86"/>
      <c r="D20" s="44"/>
      <c r="E20" s="91"/>
      <c r="F20" s="60" t="s">
        <v>61</v>
      </c>
      <c r="G20" s="56"/>
      <c r="H20" s="57"/>
      <c r="I20" s="44"/>
      <c r="J20" s="44"/>
      <c r="K20" s="44"/>
      <c r="L20" s="44"/>
      <c r="M20" s="44"/>
      <c r="N20" s="44"/>
      <c r="O20" s="44"/>
      <c r="P20" s="44"/>
      <c r="Q20" s="44"/>
      <c r="R20" s="44"/>
      <c r="S20" s="44"/>
      <c r="T20" s="44"/>
      <c r="U20" s="44"/>
      <c r="V20" s="44"/>
      <c r="W20" s="44"/>
      <c r="X20" s="44"/>
      <c r="Y20" s="44"/>
      <c r="Z20" s="44"/>
      <c r="AA20" s="44"/>
      <c r="AB20" s="44"/>
      <c r="AC20" s="44"/>
      <c r="AD20" s="44"/>
      <c r="AE20" s="44"/>
      <c r="AF20" s="44"/>
    </row>
    <row r="21" spans="1:32" ht="15" customHeight="1" x14ac:dyDescent="0.25">
      <c r="A21" s="39"/>
      <c r="B21" s="44"/>
      <c r="C21" s="86"/>
      <c r="D21" s="44"/>
      <c r="E21" s="91"/>
      <c r="F21" s="56"/>
      <c r="G21" s="56"/>
      <c r="H21" s="57"/>
      <c r="I21" s="44"/>
      <c r="J21" s="44"/>
      <c r="K21" s="44"/>
      <c r="L21" s="44"/>
      <c r="M21" s="44"/>
      <c r="N21" s="44"/>
      <c r="O21" s="44"/>
      <c r="P21" s="44"/>
      <c r="Q21" s="44"/>
      <c r="R21" s="44"/>
      <c r="S21" s="44"/>
      <c r="T21" s="44"/>
      <c r="U21" s="44"/>
      <c r="V21" s="44"/>
      <c r="W21" s="44"/>
      <c r="X21" s="44"/>
      <c r="Y21" s="44"/>
      <c r="Z21" s="44"/>
      <c r="AA21" s="44"/>
      <c r="AB21" s="44"/>
      <c r="AC21" s="44"/>
      <c r="AD21" s="44"/>
      <c r="AE21" s="44"/>
      <c r="AF21" s="44"/>
    </row>
    <row r="22" spans="1:32" ht="15" customHeight="1" x14ac:dyDescent="0.25">
      <c r="A22" s="39"/>
      <c r="B22" s="44"/>
      <c r="C22" s="86"/>
      <c r="D22" s="44"/>
      <c r="E22" s="91"/>
      <c r="F22" s="56"/>
      <c r="G22" s="56"/>
      <c r="H22" s="57"/>
      <c r="I22" s="44"/>
      <c r="J22" s="44"/>
      <c r="K22" s="44"/>
      <c r="L22" s="44"/>
      <c r="M22" s="44"/>
      <c r="N22" s="44"/>
      <c r="O22" s="44"/>
      <c r="P22" s="44"/>
      <c r="Q22" s="44"/>
      <c r="R22" s="44"/>
      <c r="S22" s="44"/>
      <c r="T22" s="44"/>
      <c r="U22" s="44"/>
      <c r="V22" s="44"/>
      <c r="W22" s="44"/>
      <c r="X22" s="44"/>
      <c r="Y22" s="44"/>
      <c r="Z22" s="44"/>
      <c r="AA22" s="44"/>
      <c r="AB22" s="44"/>
      <c r="AC22" s="44"/>
      <c r="AD22" s="44"/>
      <c r="AE22" s="44"/>
      <c r="AF22" s="44"/>
    </row>
    <row r="23" spans="1:32" ht="15" customHeight="1" thickBot="1" x14ac:dyDescent="0.3">
      <c r="A23" s="39"/>
      <c r="B23" s="44"/>
      <c r="C23" s="87"/>
      <c r="D23" s="44"/>
      <c r="E23" s="92"/>
      <c r="F23" s="58"/>
      <c r="G23" s="58"/>
      <c r="H23" s="59"/>
      <c r="I23" s="44"/>
      <c r="J23" s="44"/>
      <c r="K23" s="44"/>
      <c r="L23" s="44"/>
      <c r="M23" s="44"/>
      <c r="N23" s="44"/>
      <c r="O23" s="44"/>
      <c r="P23" s="44"/>
      <c r="Q23" s="44"/>
      <c r="R23" s="44"/>
      <c r="S23" s="44"/>
      <c r="T23" s="44"/>
      <c r="U23" s="44"/>
      <c r="V23" s="44"/>
      <c r="W23" s="44"/>
      <c r="X23" s="44"/>
      <c r="Y23" s="44"/>
      <c r="Z23" s="44"/>
      <c r="AA23" s="44"/>
      <c r="AB23" s="44"/>
      <c r="AC23" s="44"/>
      <c r="AD23" s="44"/>
      <c r="AE23" s="44"/>
      <c r="AF23" s="44"/>
    </row>
    <row r="24" spans="1:32" ht="15" customHeight="1" thickTop="1" x14ac:dyDescent="0.25">
      <c r="A24" s="39"/>
      <c r="B24" s="44"/>
      <c r="C24" s="44"/>
      <c r="D24" s="44"/>
      <c r="E24" s="53"/>
      <c r="F24" s="35"/>
      <c r="G24" s="35"/>
      <c r="H24" s="35"/>
      <c r="I24" s="44"/>
      <c r="J24" s="44"/>
      <c r="K24" s="44"/>
      <c r="L24" s="44"/>
      <c r="M24" s="44"/>
      <c r="N24" s="44"/>
      <c r="O24" s="44"/>
      <c r="P24" s="44"/>
      <c r="Q24" s="44"/>
      <c r="R24" s="44"/>
      <c r="S24" s="44"/>
      <c r="T24" s="44"/>
      <c r="U24" s="44"/>
      <c r="V24" s="44"/>
      <c r="W24" s="44"/>
      <c r="X24" s="44"/>
      <c r="Y24" s="44"/>
      <c r="Z24" s="44"/>
      <c r="AA24" s="44"/>
      <c r="AB24" s="44"/>
      <c r="AC24" s="44"/>
      <c r="AD24" s="44"/>
      <c r="AE24" s="44"/>
      <c r="AF24" s="44"/>
    </row>
    <row r="25" spans="1:32" x14ac:dyDescent="0.25">
      <c r="A25" s="39"/>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row>
    <row r="26" spans="1:32" s="63" customFormat="1" x14ac:dyDescent="0.25">
      <c r="A26" s="39"/>
    </row>
    <row r="27" spans="1:32" s="63" customFormat="1" ht="30" customHeight="1" x14ac:dyDescent="0.25">
      <c r="A27" s="39"/>
      <c r="D27" s="65" t="s">
        <v>69</v>
      </c>
      <c r="F27" s="65"/>
      <c r="G27" s="65"/>
      <c r="H27" s="65"/>
    </row>
    <row r="28" spans="1:32" s="63" customFormat="1" ht="15" customHeight="1" x14ac:dyDescent="0.25">
      <c r="A28" s="39"/>
      <c r="C28" s="64"/>
      <c r="D28" s="64"/>
      <c r="E28" s="64"/>
      <c r="F28" s="64"/>
      <c r="G28" s="64"/>
      <c r="H28" s="64"/>
    </row>
    <row r="29" spans="1:32" x14ac:dyDescent="0.25">
      <c r="A29" s="39"/>
      <c r="B29" s="44"/>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row>
    <row r="30" spans="1:32" x14ac:dyDescent="0.25">
      <c r="A30" s="39"/>
      <c r="B30" s="44"/>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row>
    <row r="31" spans="1:32" x14ac:dyDescent="0.25">
      <c r="A31" s="39"/>
      <c r="B31" s="44"/>
      <c r="C31" s="44"/>
      <c r="D31" s="44"/>
      <c r="E31" s="93"/>
      <c r="F31" s="45"/>
      <c r="G31" s="45"/>
      <c r="H31" s="45"/>
      <c r="I31" s="45"/>
      <c r="J31" s="46"/>
      <c r="K31" s="44"/>
      <c r="L31" s="44"/>
      <c r="M31" s="44"/>
      <c r="N31" s="44"/>
      <c r="O31" s="44"/>
      <c r="P31" s="44"/>
      <c r="Q31" s="44"/>
      <c r="R31" s="44"/>
      <c r="S31" s="44"/>
      <c r="T31" s="44"/>
      <c r="U31" s="44"/>
      <c r="V31" s="44"/>
      <c r="W31" s="44"/>
      <c r="X31" s="44"/>
      <c r="Y31" s="44"/>
      <c r="Z31" s="44"/>
      <c r="AA31" s="44"/>
      <c r="AB31" s="44"/>
      <c r="AC31" s="44"/>
      <c r="AD31" s="44"/>
      <c r="AE31" s="44"/>
      <c r="AF31" s="44"/>
    </row>
    <row r="32" spans="1:32" x14ac:dyDescent="0.25">
      <c r="A32" s="39"/>
      <c r="B32" s="44"/>
      <c r="C32" s="44"/>
      <c r="D32" s="44"/>
      <c r="E32" s="94"/>
      <c r="F32" s="78" t="s">
        <v>70</v>
      </c>
      <c r="G32" s="40"/>
      <c r="H32" s="40"/>
      <c r="I32" s="40"/>
      <c r="J32" s="66"/>
      <c r="K32" s="44"/>
      <c r="L32" s="44"/>
      <c r="M32" s="44"/>
      <c r="N32" s="44"/>
      <c r="O32" s="44"/>
      <c r="P32" s="44"/>
      <c r="Q32" s="44"/>
      <c r="R32" s="44"/>
      <c r="S32" s="44"/>
      <c r="T32" s="44"/>
      <c r="U32" s="44"/>
      <c r="V32" s="44"/>
      <c r="W32" s="44"/>
      <c r="X32" s="44"/>
      <c r="Y32" s="44"/>
      <c r="Z32" s="44"/>
      <c r="AA32" s="44"/>
      <c r="AB32" s="44"/>
      <c r="AC32" s="44"/>
      <c r="AD32" s="44"/>
      <c r="AE32" s="44"/>
      <c r="AF32" s="44"/>
    </row>
    <row r="33" spans="1:32" x14ac:dyDescent="0.25">
      <c r="A33" s="39"/>
      <c r="B33" s="44"/>
      <c r="C33" s="44"/>
      <c r="D33" s="44"/>
      <c r="E33" s="94"/>
      <c r="F33" s="78" t="s">
        <v>71</v>
      </c>
      <c r="G33" s="40"/>
      <c r="H33" s="40"/>
      <c r="I33" s="40"/>
      <c r="J33" s="66"/>
      <c r="K33" s="44"/>
      <c r="L33" s="44"/>
      <c r="M33" s="44"/>
      <c r="N33" s="44"/>
      <c r="O33" s="44"/>
      <c r="P33" s="44"/>
      <c r="Q33" s="44"/>
      <c r="R33" s="44"/>
      <c r="S33" s="44"/>
      <c r="T33" s="44"/>
      <c r="U33" s="44"/>
      <c r="V33" s="44"/>
      <c r="W33" s="44"/>
      <c r="X33" s="44"/>
      <c r="Y33" s="44"/>
      <c r="Z33" s="44"/>
      <c r="AA33" s="44"/>
      <c r="AB33" s="44"/>
      <c r="AC33" s="44"/>
      <c r="AD33" s="44"/>
      <c r="AE33" s="44"/>
      <c r="AF33" s="44"/>
    </row>
    <row r="34" spans="1:32" x14ac:dyDescent="0.25">
      <c r="A34" s="39"/>
      <c r="B34" s="44"/>
      <c r="C34" s="44"/>
      <c r="D34" s="44"/>
      <c r="E34" s="94"/>
      <c r="F34" s="79" t="s">
        <v>76</v>
      </c>
      <c r="G34" s="40"/>
      <c r="H34" s="40"/>
      <c r="I34" s="40"/>
      <c r="J34" s="66"/>
      <c r="K34" s="44"/>
      <c r="L34" s="44"/>
      <c r="M34" s="44"/>
      <c r="N34" s="44"/>
      <c r="O34" s="44"/>
      <c r="P34" s="44"/>
      <c r="Q34" s="44"/>
      <c r="R34" s="44"/>
      <c r="S34" s="44"/>
      <c r="T34" s="44"/>
      <c r="U34" s="44"/>
      <c r="V34" s="44"/>
      <c r="W34" s="44"/>
      <c r="X34" s="44"/>
      <c r="Y34" s="44"/>
      <c r="Z34" s="44"/>
      <c r="AA34" s="44"/>
      <c r="AB34" s="44"/>
      <c r="AC34" s="44"/>
      <c r="AD34" s="44"/>
      <c r="AE34" s="44"/>
      <c r="AF34" s="44"/>
    </row>
    <row r="35" spans="1:32" x14ac:dyDescent="0.25">
      <c r="A35" s="39"/>
      <c r="B35" s="44"/>
      <c r="C35" s="44"/>
      <c r="D35" s="44"/>
      <c r="E35" s="95"/>
      <c r="F35" s="67"/>
      <c r="G35" s="67"/>
      <c r="H35" s="67"/>
      <c r="I35" s="67"/>
      <c r="J35" s="68"/>
      <c r="K35" s="44"/>
      <c r="L35" s="44"/>
      <c r="M35" s="44"/>
      <c r="N35" s="44"/>
      <c r="O35" s="44"/>
      <c r="P35" s="44"/>
      <c r="Q35" s="44"/>
      <c r="R35" s="44"/>
      <c r="S35" s="44"/>
      <c r="T35" s="44"/>
      <c r="U35" s="44"/>
      <c r="V35" s="44"/>
      <c r="W35" s="44"/>
      <c r="X35" s="44"/>
      <c r="Y35" s="44"/>
      <c r="Z35" s="44"/>
      <c r="AA35" s="44"/>
      <c r="AB35" s="44"/>
      <c r="AC35" s="44"/>
      <c r="AD35" s="44"/>
      <c r="AE35" s="44"/>
      <c r="AF35" s="44"/>
    </row>
    <row r="36" spans="1:32" x14ac:dyDescent="0.25">
      <c r="A36" s="39"/>
      <c r="B36" s="44"/>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row>
    <row r="37" spans="1:32" x14ac:dyDescent="0.25">
      <c r="A37" s="39"/>
      <c r="B37" s="44"/>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row>
    <row r="38" spans="1:32" ht="15.75" thickBot="1" x14ac:dyDescent="0.3">
      <c r="A38" s="39"/>
      <c r="B38" s="44"/>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row>
    <row r="39" spans="1:32" ht="21.75" thickBot="1" x14ac:dyDescent="0.3">
      <c r="A39" s="39"/>
      <c r="B39" s="44"/>
      <c r="C39" s="22" t="s">
        <v>6</v>
      </c>
      <c r="D39" s="23" t="s">
        <v>12</v>
      </c>
      <c r="E39" s="24" t="s">
        <v>4</v>
      </c>
      <c r="F39" s="24" t="s">
        <v>0</v>
      </c>
      <c r="G39" s="24" t="s">
        <v>1</v>
      </c>
      <c r="H39" s="24" t="s">
        <v>2</v>
      </c>
      <c r="I39" s="24" t="s">
        <v>3</v>
      </c>
      <c r="J39" s="24" t="s">
        <v>45</v>
      </c>
      <c r="K39" s="25" t="s">
        <v>48</v>
      </c>
      <c r="L39" s="44"/>
      <c r="M39" s="70" t="s">
        <v>72</v>
      </c>
      <c r="N39" s="44"/>
      <c r="O39" s="44"/>
      <c r="P39" s="44"/>
      <c r="Q39" s="44"/>
      <c r="R39" s="44"/>
      <c r="S39" s="44"/>
      <c r="T39" s="44"/>
      <c r="U39" s="44"/>
      <c r="V39" s="44"/>
      <c r="W39" s="44"/>
      <c r="X39" s="44"/>
      <c r="Y39" s="44"/>
      <c r="Z39" s="44"/>
      <c r="AA39" s="44"/>
      <c r="AB39" s="44"/>
      <c r="AC39" s="44"/>
      <c r="AD39" s="44"/>
      <c r="AE39" s="44"/>
      <c r="AF39" s="44"/>
    </row>
    <row r="40" spans="1:32" ht="30" customHeight="1" x14ac:dyDescent="0.25">
      <c r="A40" s="39"/>
      <c r="B40" s="44"/>
      <c r="C40" s="20" t="s">
        <v>39</v>
      </c>
      <c r="D40" s="16" t="s">
        <v>12</v>
      </c>
      <c r="E40" s="18" t="s">
        <v>9</v>
      </c>
      <c r="F40" s="10" t="s">
        <v>5</v>
      </c>
      <c r="G40" s="10" t="s">
        <v>7</v>
      </c>
      <c r="H40" s="10" t="s">
        <v>37</v>
      </c>
      <c r="I40" s="10" t="s">
        <v>8</v>
      </c>
      <c r="J40" s="9" t="s">
        <v>46</v>
      </c>
      <c r="K40" s="11">
        <v>0</v>
      </c>
      <c r="L40" s="44"/>
      <c r="M40" s="71" t="s">
        <v>6</v>
      </c>
      <c r="N40" s="44"/>
      <c r="O40" s="44"/>
      <c r="P40" s="44"/>
      <c r="Q40" s="44"/>
      <c r="R40" s="44"/>
      <c r="S40" s="44"/>
      <c r="T40" s="44"/>
      <c r="U40" s="44"/>
      <c r="V40" s="44"/>
      <c r="W40" s="44"/>
      <c r="X40" s="44"/>
      <c r="Y40" s="44"/>
      <c r="Z40" s="44"/>
      <c r="AA40" s="44"/>
      <c r="AB40" s="44"/>
      <c r="AC40" s="44"/>
      <c r="AD40" s="44"/>
      <c r="AE40" s="44"/>
      <c r="AF40" s="44"/>
    </row>
    <row r="41" spans="1:32" ht="30" customHeight="1" x14ac:dyDescent="0.25">
      <c r="A41" s="39"/>
      <c r="B41" s="44"/>
      <c r="C41" s="20" t="s">
        <v>40</v>
      </c>
      <c r="D41" s="16" t="s">
        <v>12</v>
      </c>
      <c r="E41" s="18" t="s">
        <v>11</v>
      </c>
      <c r="F41" s="10" t="s">
        <v>5</v>
      </c>
      <c r="G41" s="10" t="s">
        <v>7</v>
      </c>
      <c r="H41" s="10" t="s">
        <v>37</v>
      </c>
      <c r="I41" s="10" t="s">
        <v>10</v>
      </c>
      <c r="J41" s="9" t="s">
        <v>46</v>
      </c>
      <c r="K41" s="12">
        <v>0</v>
      </c>
      <c r="L41" s="44"/>
      <c r="M41" s="72" t="s">
        <v>24</v>
      </c>
      <c r="N41" s="44"/>
      <c r="O41" s="44" t="e">
        <f>GetNumbersAllFrontblenden()</f>
        <v>#VALUE!</v>
      </c>
      <c r="P41" s="44"/>
      <c r="Q41" s="44"/>
      <c r="R41" s="44"/>
      <c r="S41" s="44"/>
      <c r="T41" s="44"/>
      <c r="U41" s="44"/>
      <c r="V41" s="44"/>
      <c r="W41" s="44"/>
      <c r="X41" s="44"/>
      <c r="Y41" s="44"/>
      <c r="Z41" s="44"/>
      <c r="AA41" s="44"/>
      <c r="AB41" s="44"/>
      <c r="AC41" s="44"/>
      <c r="AD41" s="44"/>
      <c r="AE41" s="44"/>
      <c r="AF41" s="44"/>
    </row>
    <row r="42" spans="1:32" ht="30" customHeight="1" x14ac:dyDescent="0.25">
      <c r="A42" s="39"/>
      <c r="B42" s="44"/>
      <c r="C42" s="20" t="s">
        <v>42</v>
      </c>
      <c r="D42" s="16" t="s">
        <v>12</v>
      </c>
      <c r="E42" s="18" t="s">
        <v>11</v>
      </c>
      <c r="F42" s="10" t="s">
        <v>13</v>
      </c>
      <c r="G42" s="10" t="s">
        <v>14</v>
      </c>
      <c r="H42" s="10" t="s">
        <v>38</v>
      </c>
      <c r="I42" s="10" t="s">
        <v>10</v>
      </c>
      <c r="J42" s="9" t="s">
        <v>46</v>
      </c>
      <c r="K42" s="12">
        <v>0</v>
      </c>
      <c r="L42" s="44"/>
      <c r="M42" s="72" t="s">
        <v>23</v>
      </c>
      <c r="N42" s="44"/>
      <c r="O42" s="44"/>
      <c r="P42" s="44"/>
      <c r="Q42" s="44"/>
      <c r="R42" s="44"/>
      <c r="S42" s="44"/>
      <c r="T42" s="44"/>
      <c r="U42" s="44"/>
      <c r="V42" s="44"/>
      <c r="W42" s="44"/>
      <c r="X42" s="44"/>
      <c r="Y42" s="44"/>
      <c r="Z42" s="44"/>
      <c r="AA42" s="44"/>
      <c r="AB42" s="44"/>
      <c r="AC42" s="44"/>
      <c r="AD42" s="44"/>
      <c r="AE42" s="44"/>
      <c r="AF42" s="44"/>
    </row>
    <row r="43" spans="1:32" ht="30" customHeight="1" x14ac:dyDescent="0.25">
      <c r="A43" s="39"/>
      <c r="B43" s="44"/>
      <c r="C43" s="20" t="s">
        <v>44</v>
      </c>
      <c r="D43" s="16" t="s">
        <v>12</v>
      </c>
      <c r="E43" s="18" t="s">
        <v>11</v>
      </c>
      <c r="F43" s="10" t="s">
        <v>13</v>
      </c>
      <c r="G43" s="10" t="s">
        <v>15</v>
      </c>
      <c r="H43" s="10" t="s">
        <v>37</v>
      </c>
      <c r="I43" s="10" t="s">
        <v>10</v>
      </c>
      <c r="J43" s="9" t="s">
        <v>47</v>
      </c>
      <c r="K43" s="12">
        <v>0</v>
      </c>
      <c r="L43" s="44"/>
      <c r="M43" s="72" t="s">
        <v>22</v>
      </c>
      <c r="N43" s="44"/>
      <c r="O43" s="44"/>
      <c r="P43" s="44"/>
      <c r="Q43" s="44"/>
      <c r="R43" s="44"/>
      <c r="S43" s="44"/>
      <c r="T43" s="44"/>
      <c r="U43" s="44"/>
      <c r="V43" s="44"/>
      <c r="W43" s="44"/>
      <c r="X43" s="44"/>
      <c r="Y43" s="44"/>
      <c r="Z43" s="44"/>
      <c r="AA43" s="44"/>
      <c r="AB43" s="44"/>
      <c r="AC43" s="44"/>
      <c r="AD43" s="44"/>
      <c r="AE43" s="44"/>
      <c r="AF43" s="44"/>
    </row>
    <row r="44" spans="1:32" ht="30" customHeight="1" x14ac:dyDescent="0.25">
      <c r="A44" s="39"/>
      <c r="B44" s="44"/>
      <c r="C44" s="20" t="s">
        <v>41</v>
      </c>
      <c r="D44" s="16" t="s">
        <v>12</v>
      </c>
      <c r="E44" s="18" t="s">
        <v>11</v>
      </c>
      <c r="F44" s="10" t="s">
        <v>5</v>
      </c>
      <c r="G44" s="10" t="s">
        <v>7</v>
      </c>
      <c r="H44" s="10" t="s">
        <v>37</v>
      </c>
      <c r="I44" s="10" t="s">
        <v>10</v>
      </c>
      <c r="J44" s="9" t="s">
        <v>47</v>
      </c>
      <c r="K44" s="11">
        <v>0</v>
      </c>
      <c r="L44" s="44"/>
      <c r="M44" s="72" t="s">
        <v>21</v>
      </c>
      <c r="N44" s="44"/>
      <c r="O44" s="44"/>
      <c r="P44" s="44"/>
      <c r="Q44" s="44"/>
      <c r="R44" s="44"/>
      <c r="S44" s="44"/>
      <c r="T44" s="44"/>
      <c r="U44" s="44"/>
      <c r="V44" s="44"/>
      <c r="W44" s="44"/>
      <c r="X44" s="44"/>
      <c r="Y44" s="44"/>
      <c r="Z44" s="44"/>
      <c r="AA44" s="44"/>
      <c r="AB44" s="44"/>
      <c r="AC44" s="44"/>
      <c r="AD44" s="44"/>
      <c r="AE44" s="44"/>
      <c r="AF44" s="44"/>
    </row>
    <row r="45" spans="1:32" ht="30" customHeight="1" x14ac:dyDescent="0.25">
      <c r="A45" s="39"/>
      <c r="B45" s="44"/>
      <c r="C45" s="20" t="s">
        <v>43</v>
      </c>
      <c r="D45" s="16" t="s">
        <v>12</v>
      </c>
      <c r="E45" s="18" t="s">
        <v>11</v>
      </c>
      <c r="F45" s="10" t="s">
        <v>13</v>
      </c>
      <c r="G45" s="10" t="s">
        <v>14</v>
      </c>
      <c r="H45" s="10" t="s">
        <v>38</v>
      </c>
      <c r="I45" s="10" t="s">
        <v>10</v>
      </c>
      <c r="J45" s="9" t="s">
        <v>47</v>
      </c>
      <c r="K45" s="12">
        <v>0</v>
      </c>
      <c r="L45" s="44"/>
      <c r="M45" s="72" t="s">
        <v>20</v>
      </c>
      <c r="N45" s="44"/>
      <c r="O45" s="44"/>
      <c r="P45" s="44"/>
      <c r="Q45" s="44"/>
      <c r="R45" s="44"/>
      <c r="S45" s="44"/>
      <c r="T45" s="44"/>
      <c r="U45" s="44"/>
      <c r="V45" s="44"/>
      <c r="W45" s="44"/>
      <c r="X45" s="44"/>
      <c r="Y45" s="44"/>
      <c r="Z45" s="44"/>
      <c r="AA45" s="44"/>
      <c r="AB45" s="44"/>
      <c r="AC45" s="44"/>
      <c r="AD45" s="44"/>
      <c r="AE45" s="44"/>
      <c r="AF45" s="44"/>
    </row>
    <row r="46" spans="1:32" ht="30" customHeight="1" x14ac:dyDescent="0.25">
      <c r="A46" s="39"/>
      <c r="B46" s="44"/>
      <c r="C46" s="20" t="s">
        <v>56</v>
      </c>
      <c r="D46" s="16" t="s">
        <v>12</v>
      </c>
      <c r="E46" s="18" t="s">
        <v>11</v>
      </c>
      <c r="F46" s="10" t="s">
        <v>13</v>
      </c>
      <c r="G46" s="10" t="s">
        <v>7</v>
      </c>
      <c r="H46" s="10" t="s">
        <v>38</v>
      </c>
      <c r="I46" s="10" t="s">
        <v>10</v>
      </c>
      <c r="J46" s="9" t="s">
        <v>47</v>
      </c>
      <c r="K46" s="12">
        <v>0</v>
      </c>
      <c r="L46" s="44"/>
      <c r="M46" s="72" t="s">
        <v>19</v>
      </c>
      <c r="N46" s="44"/>
      <c r="O46" s="44"/>
      <c r="P46" s="44"/>
      <c r="Q46" s="44"/>
      <c r="R46" s="44"/>
      <c r="S46" s="44"/>
      <c r="T46" s="44"/>
      <c r="U46" s="44"/>
      <c r="V46" s="44"/>
      <c r="W46" s="44"/>
      <c r="X46" s="44"/>
      <c r="Y46" s="44"/>
      <c r="Z46" s="44"/>
      <c r="AA46" s="44"/>
      <c r="AB46" s="44"/>
      <c r="AC46" s="44"/>
      <c r="AD46" s="44"/>
      <c r="AE46" s="44"/>
      <c r="AF46" s="44"/>
    </row>
    <row r="47" spans="1:32" ht="30" customHeight="1" x14ac:dyDescent="0.25">
      <c r="A47" s="39"/>
      <c r="B47" s="44"/>
      <c r="C47" s="20" t="s">
        <v>49</v>
      </c>
      <c r="D47" s="16" t="s">
        <v>12</v>
      </c>
      <c r="E47" s="18" t="s">
        <v>11</v>
      </c>
      <c r="F47" s="10" t="s">
        <v>5</v>
      </c>
      <c r="G47" s="10" t="s">
        <v>7</v>
      </c>
      <c r="H47" s="10" t="s">
        <v>37</v>
      </c>
      <c r="I47" s="10" t="s">
        <v>50</v>
      </c>
      <c r="J47" s="9" t="s">
        <v>47</v>
      </c>
      <c r="K47" s="12">
        <v>0</v>
      </c>
      <c r="L47" s="44"/>
      <c r="M47" s="72" t="s">
        <v>18</v>
      </c>
      <c r="N47" s="44"/>
      <c r="O47" s="44"/>
      <c r="P47" s="44"/>
      <c r="Q47" s="44"/>
      <c r="R47" s="44"/>
      <c r="S47" s="44"/>
      <c r="T47" s="44"/>
      <c r="U47" s="44"/>
      <c r="V47" s="44"/>
      <c r="W47" s="44"/>
      <c r="X47" s="44"/>
      <c r="Y47" s="44"/>
      <c r="Z47" s="44"/>
      <c r="AA47" s="44"/>
      <c r="AB47" s="44"/>
      <c r="AC47" s="44"/>
      <c r="AD47" s="44"/>
      <c r="AE47" s="44"/>
      <c r="AF47" s="44"/>
    </row>
    <row r="48" spans="1:32" ht="30" customHeight="1" x14ac:dyDescent="0.25">
      <c r="A48" s="39"/>
      <c r="B48" s="44"/>
      <c r="C48" s="20" t="s">
        <v>51</v>
      </c>
      <c r="D48" s="16" t="s">
        <v>12</v>
      </c>
      <c r="E48" s="18" t="s">
        <v>11</v>
      </c>
      <c r="F48" s="10" t="s">
        <v>13</v>
      </c>
      <c r="G48" s="10" t="s">
        <v>7</v>
      </c>
      <c r="H48" s="10" t="s">
        <v>38</v>
      </c>
      <c r="I48" s="10" t="s">
        <v>50</v>
      </c>
      <c r="J48" s="9" t="s">
        <v>47</v>
      </c>
      <c r="K48" s="12">
        <v>0</v>
      </c>
      <c r="L48" s="44"/>
      <c r="M48" s="72" t="s">
        <v>17</v>
      </c>
      <c r="N48" s="44"/>
      <c r="O48" s="44"/>
      <c r="P48" s="44"/>
      <c r="Q48" s="44"/>
      <c r="R48" s="44"/>
      <c r="S48" s="44"/>
      <c r="T48" s="44"/>
      <c r="U48" s="44"/>
      <c r="V48" s="44"/>
      <c r="W48" s="44"/>
      <c r="X48" s="44"/>
      <c r="Y48" s="44"/>
      <c r="Z48" s="44"/>
      <c r="AA48" s="44"/>
      <c r="AB48" s="44"/>
      <c r="AC48" s="44"/>
      <c r="AD48" s="44"/>
      <c r="AE48" s="44"/>
      <c r="AF48" s="44"/>
    </row>
    <row r="49" spans="1:32" ht="30" customHeight="1" x14ac:dyDescent="0.25">
      <c r="A49" s="39"/>
      <c r="B49" s="44"/>
      <c r="C49" s="20" t="s">
        <v>52</v>
      </c>
      <c r="D49" s="16" t="s">
        <v>12</v>
      </c>
      <c r="E49" s="18" t="s">
        <v>11</v>
      </c>
      <c r="F49" s="10" t="s">
        <v>13</v>
      </c>
      <c r="G49" s="10" t="s">
        <v>14</v>
      </c>
      <c r="H49" s="10" t="s">
        <v>38</v>
      </c>
      <c r="I49" s="10" t="s">
        <v>50</v>
      </c>
      <c r="J49" s="9" t="s">
        <v>47</v>
      </c>
      <c r="K49" s="12">
        <v>0</v>
      </c>
      <c r="L49" s="44"/>
      <c r="M49" s="72" t="s">
        <v>16</v>
      </c>
      <c r="N49" s="44"/>
      <c r="O49" s="44"/>
      <c r="P49" s="44"/>
      <c r="Q49" s="44"/>
      <c r="R49" s="44"/>
      <c r="S49" s="44"/>
      <c r="T49" s="44"/>
      <c r="U49" s="44"/>
      <c r="V49" s="44"/>
      <c r="W49" s="44"/>
      <c r="X49" s="44"/>
      <c r="Y49" s="44"/>
      <c r="Z49" s="44"/>
      <c r="AA49" s="44"/>
      <c r="AB49" s="44"/>
      <c r="AC49" s="44"/>
      <c r="AD49" s="44"/>
      <c r="AE49" s="44"/>
      <c r="AF49" s="44"/>
    </row>
    <row r="50" spans="1:32" ht="30" customHeight="1" thickBot="1" x14ac:dyDescent="0.3">
      <c r="A50" s="39"/>
      <c r="B50" s="44"/>
      <c r="C50" s="21" t="s">
        <v>53</v>
      </c>
      <c r="D50" s="17" t="s">
        <v>12</v>
      </c>
      <c r="E50" s="19" t="s">
        <v>11</v>
      </c>
      <c r="F50" s="14" t="s">
        <v>13</v>
      </c>
      <c r="G50" s="14" t="s">
        <v>15</v>
      </c>
      <c r="H50" s="14" t="s">
        <v>38</v>
      </c>
      <c r="I50" s="14" t="s">
        <v>50</v>
      </c>
      <c r="J50" s="13" t="s">
        <v>47</v>
      </c>
      <c r="K50" s="15">
        <v>0</v>
      </c>
      <c r="L50" s="44"/>
      <c r="M50" s="73"/>
      <c r="N50" s="44"/>
      <c r="O50" s="44"/>
      <c r="P50" s="44"/>
      <c r="Q50" s="44"/>
      <c r="R50" s="44"/>
      <c r="S50" s="44"/>
      <c r="T50" s="44"/>
      <c r="U50" s="44"/>
      <c r="V50" s="44"/>
      <c r="W50" s="44"/>
      <c r="X50" s="44"/>
      <c r="Y50" s="44"/>
      <c r="Z50" s="44"/>
      <c r="AA50" s="44"/>
      <c r="AB50" s="44"/>
      <c r="AC50" s="44"/>
      <c r="AD50" s="44"/>
      <c r="AE50" s="44"/>
      <c r="AF50" s="44"/>
    </row>
    <row r="51" spans="1:32" x14ac:dyDescent="0.25">
      <c r="A51" s="39"/>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row>
    <row r="52" spans="1:32" ht="21" x14ac:dyDescent="0.25">
      <c r="A52" s="39"/>
      <c r="B52" s="44"/>
      <c r="C52" s="69"/>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row>
    <row r="53" spans="1:32" x14ac:dyDescent="0.25">
      <c r="A53" s="39"/>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row>
    <row r="54" spans="1:32" x14ac:dyDescent="0.25">
      <c r="A54" s="39"/>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row>
    <row r="55" spans="1:32" x14ac:dyDescent="0.25">
      <c r="A55" s="39"/>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row>
    <row r="56" spans="1:32" x14ac:dyDescent="0.25">
      <c r="A56" s="39"/>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row>
    <row r="57" spans="1:32" x14ac:dyDescent="0.25">
      <c r="A57" s="39"/>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row>
    <row r="58" spans="1:32" x14ac:dyDescent="0.25">
      <c r="A58" s="39"/>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row>
    <row r="59" spans="1:32" x14ac:dyDescent="0.25">
      <c r="A59" s="39"/>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row>
    <row r="60" spans="1:32" x14ac:dyDescent="0.25">
      <c r="A60" s="39"/>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row>
    <row r="61" spans="1:32" x14ac:dyDescent="0.25">
      <c r="A61" s="39"/>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row>
    <row r="62" spans="1:32" x14ac:dyDescent="0.25">
      <c r="A62" s="39"/>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row>
    <row r="63" spans="1:32" x14ac:dyDescent="0.25">
      <c r="A63" s="39"/>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row>
    <row r="64" spans="1:32" x14ac:dyDescent="0.25">
      <c r="A64" s="39"/>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row>
    <row r="65" spans="1:32" x14ac:dyDescent="0.25">
      <c r="A65" s="39"/>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row>
    <row r="66" spans="1:32" x14ac:dyDescent="0.25">
      <c r="A66" s="39"/>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row>
    <row r="67" spans="1:32" x14ac:dyDescent="0.25">
      <c r="A67" s="39"/>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row>
    <row r="68" spans="1:32" x14ac:dyDescent="0.25">
      <c r="A68" s="39"/>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row>
    <row r="69" spans="1:32" x14ac:dyDescent="0.25">
      <c r="A69" s="39"/>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row>
    <row r="70" spans="1:32" x14ac:dyDescent="0.25">
      <c r="A70" s="39"/>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row>
    <row r="71" spans="1:32" x14ac:dyDescent="0.25">
      <c r="A71" s="39"/>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row>
    <row r="72" spans="1:32" x14ac:dyDescent="0.25">
      <c r="A72" s="39"/>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row>
    <row r="73" spans="1:32" x14ac:dyDescent="0.25">
      <c r="A73" s="39"/>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row>
    <row r="74" spans="1:32" x14ac:dyDescent="0.25">
      <c r="A74" s="39"/>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row>
    <row r="75" spans="1:32" x14ac:dyDescent="0.25">
      <c r="A75" s="39"/>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row>
    <row r="76" spans="1:32" x14ac:dyDescent="0.25">
      <c r="A76" s="39"/>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row>
    <row r="77" spans="1:32" x14ac:dyDescent="0.25">
      <c r="A77" s="39"/>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row>
    <row r="78" spans="1:32" x14ac:dyDescent="0.25">
      <c r="A78" s="39"/>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row>
    <row r="79" spans="1:32" x14ac:dyDescent="0.25">
      <c r="A79" s="39"/>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row>
    <row r="80" spans="1:32" x14ac:dyDescent="0.25">
      <c r="A80" s="39"/>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row>
    <row r="81" spans="1:32" x14ac:dyDescent="0.25">
      <c r="A81" s="39"/>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row>
    <row r="82" spans="1:32" x14ac:dyDescent="0.25">
      <c r="A82" s="39"/>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row>
    <row r="83" spans="1:32" x14ac:dyDescent="0.25">
      <c r="A83" s="39"/>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row>
    <row r="84" spans="1:32" x14ac:dyDescent="0.25">
      <c r="A84" s="39"/>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row>
    <row r="85" spans="1:32" x14ac:dyDescent="0.25">
      <c r="A85" s="39"/>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row>
    <row r="86" spans="1:32" x14ac:dyDescent="0.25">
      <c r="A86" s="39"/>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row>
    <row r="87" spans="1:32" x14ac:dyDescent="0.25">
      <c r="A87" s="39"/>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row>
    <row r="88" spans="1:32" x14ac:dyDescent="0.25">
      <c r="A88" s="39"/>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row>
    <row r="89" spans="1:32" x14ac:dyDescent="0.25">
      <c r="A89" s="39"/>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row>
    <row r="90" spans="1:32" x14ac:dyDescent="0.25">
      <c r="A90" s="39"/>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row>
    <row r="91" spans="1:32" x14ac:dyDescent="0.25">
      <c r="A91" s="39"/>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row>
    <row r="92" spans="1:32" x14ac:dyDescent="0.25">
      <c r="A92" s="39"/>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row>
    <row r="93" spans="1:32" x14ac:dyDescent="0.25">
      <c r="A93" s="39"/>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row>
    <row r="94" spans="1:32" x14ac:dyDescent="0.25">
      <c r="A94" s="39"/>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row>
  </sheetData>
  <dataConsolidate/>
  <mergeCells count="6">
    <mergeCell ref="C7:C23"/>
    <mergeCell ref="F18:H18"/>
    <mergeCell ref="E17:E23"/>
    <mergeCell ref="E31:E35"/>
    <mergeCell ref="F10:H10"/>
    <mergeCell ref="E9:E14"/>
  </mergeCells>
  <dataValidations count="1">
    <dataValidation type="whole" errorStyle="information" allowBlank="1" showInputMessage="1" showErrorMessage="1" error="max 4 Stück" prompt="max 4 Stück" sqref="K40:K50">
      <formula1>0</formula1>
      <formula2>4</formula2>
    </dataValidation>
  </dataValidations>
  <hyperlinks>
    <hyperlink ref="D41" r:id="rId1"/>
    <hyperlink ref="D44" r:id="rId2"/>
    <hyperlink ref="D42" r:id="rId3"/>
    <hyperlink ref="D45" r:id="rId4"/>
    <hyperlink ref="D43" r:id="rId5"/>
    <hyperlink ref="D47" r:id="rId6"/>
    <hyperlink ref="D48" r:id="rId7"/>
    <hyperlink ref="D49" r:id="rId8"/>
    <hyperlink ref="D50" r:id="rId9"/>
    <hyperlink ref="D40" r:id="rId10"/>
    <hyperlink ref="D46"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40</xdr:row>
                    <xdr:rowOff>38100</xdr:rowOff>
                  </from>
                  <to>
                    <xdr:col>10</xdr:col>
                    <xdr:colOff>819150</xdr:colOff>
                    <xdr:row>40</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41</xdr:row>
                    <xdr:rowOff>38100</xdr:rowOff>
                  </from>
                  <to>
                    <xdr:col>10</xdr:col>
                    <xdr:colOff>819150</xdr:colOff>
                    <xdr:row>41</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42</xdr:row>
                    <xdr:rowOff>38100</xdr:rowOff>
                  </from>
                  <to>
                    <xdr:col>10</xdr:col>
                    <xdr:colOff>819150</xdr:colOff>
                    <xdr:row>42</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43</xdr:row>
                    <xdr:rowOff>38100</xdr:rowOff>
                  </from>
                  <to>
                    <xdr:col>10</xdr:col>
                    <xdr:colOff>819150</xdr:colOff>
                    <xdr:row>43</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44</xdr:row>
                    <xdr:rowOff>47625</xdr:rowOff>
                  </from>
                  <to>
                    <xdr:col>10</xdr:col>
                    <xdr:colOff>819150</xdr:colOff>
                    <xdr:row>44</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46</xdr:row>
                    <xdr:rowOff>47625</xdr:rowOff>
                  </from>
                  <to>
                    <xdr:col>10</xdr:col>
                    <xdr:colOff>819150</xdr:colOff>
                    <xdr:row>46</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47</xdr:row>
                    <xdr:rowOff>47625</xdr:rowOff>
                  </from>
                  <to>
                    <xdr:col>10</xdr:col>
                    <xdr:colOff>819150</xdr:colOff>
                    <xdr:row>47</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48</xdr:row>
                    <xdr:rowOff>47625</xdr:rowOff>
                  </from>
                  <to>
                    <xdr:col>10</xdr:col>
                    <xdr:colOff>819150</xdr:colOff>
                    <xdr:row>48</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49</xdr:row>
                    <xdr:rowOff>47625</xdr:rowOff>
                  </from>
                  <to>
                    <xdr:col>10</xdr:col>
                    <xdr:colOff>819150</xdr:colOff>
                    <xdr:row>49</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39</xdr:row>
                    <xdr:rowOff>47625</xdr:rowOff>
                  </from>
                  <to>
                    <xdr:col>10</xdr:col>
                    <xdr:colOff>819150</xdr:colOff>
                    <xdr:row>40</xdr:row>
                    <xdr:rowOff>0</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45</xdr:row>
                    <xdr:rowOff>47625</xdr:rowOff>
                  </from>
                  <to>
                    <xdr:col>10</xdr:col>
                    <xdr:colOff>819150</xdr:colOff>
                    <xdr:row>45</xdr:row>
                    <xdr:rowOff>333375</xdr:rowOff>
                  </to>
                </anchor>
              </controlPr>
            </control>
          </mc:Choice>
        </mc:AlternateContent>
      </controls>
    </mc:Choice>
  </mc:AlternateContent>
  <tableParts count="2">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S31"/>
  <dimension ref="A1"/>
  <sheetViews>
    <sheetView workbookViewId="0">
      <selection activeCell="M49" sqref="M49"/>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fg_Einbaugeräte"/>
  <dimension ref="B2:M30"/>
  <sheetViews>
    <sheetView tabSelected="1" workbookViewId="0">
      <selection activeCell="O12" sqref="O12"/>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8.140625" customWidth="1"/>
    <col min="12" max="12" width="11.5703125" customWidth="1"/>
    <col min="13" max="13" width="13.7109375" customWidth="1"/>
  </cols>
  <sheetData>
    <row r="2" spans="2:13" ht="15" customHeight="1" x14ac:dyDescent="0.25">
      <c r="B2" s="104" t="s">
        <v>33</v>
      </c>
      <c r="C2" s="30" t="s">
        <v>6</v>
      </c>
      <c r="D2" s="31" t="s">
        <v>25</v>
      </c>
      <c r="E2" s="32" t="s">
        <v>4</v>
      </c>
      <c r="F2" s="32" t="s">
        <v>0</v>
      </c>
      <c r="G2" s="32" t="s">
        <v>1</v>
      </c>
      <c r="H2" s="32" t="s">
        <v>2</v>
      </c>
      <c r="I2" s="32" t="s">
        <v>3</v>
      </c>
      <c r="J2" s="32" t="s">
        <v>57</v>
      </c>
      <c r="K2" s="30" t="s">
        <v>73</v>
      </c>
      <c r="L2" s="30" t="s">
        <v>74</v>
      </c>
      <c r="M2" s="32" t="s">
        <v>75</v>
      </c>
    </row>
    <row r="3" spans="2:13" ht="15" customHeight="1" x14ac:dyDescent="0.25">
      <c r="B3" s="105"/>
      <c r="C3" s="1" t="s">
        <v>39</v>
      </c>
      <c r="D3" s="5" t="s">
        <v>26</v>
      </c>
      <c r="E3" s="3" t="s">
        <v>9</v>
      </c>
      <c r="F3" s="3" t="s">
        <v>5</v>
      </c>
      <c r="G3" s="3" t="s">
        <v>7</v>
      </c>
      <c r="H3" s="3" t="s">
        <v>37</v>
      </c>
      <c r="I3" s="3" t="s">
        <v>8</v>
      </c>
      <c r="J3" s="3" t="s">
        <v>46</v>
      </c>
      <c r="K3" s="3">
        <f>'AS-21'!K40</f>
        <v>0</v>
      </c>
      <c r="L3" s="3"/>
      <c r="M3" s="3"/>
    </row>
    <row r="4" spans="2:13" x14ac:dyDescent="0.25">
      <c r="B4" s="105"/>
      <c r="C4" s="1" t="s">
        <v>40</v>
      </c>
      <c r="D4" s="5" t="s">
        <v>27</v>
      </c>
      <c r="E4" s="3" t="s">
        <v>11</v>
      </c>
      <c r="F4" s="3" t="s">
        <v>5</v>
      </c>
      <c r="G4" s="3" t="s">
        <v>7</v>
      </c>
      <c r="H4" s="3" t="s">
        <v>37</v>
      </c>
      <c r="I4" s="3" t="s">
        <v>10</v>
      </c>
      <c r="J4" s="3" t="s">
        <v>46</v>
      </c>
      <c r="K4" s="3">
        <f>'AS-21'!K41</f>
        <v>0</v>
      </c>
      <c r="L4" s="3"/>
      <c r="M4" s="3"/>
    </row>
    <row r="5" spans="2:13" x14ac:dyDescent="0.25">
      <c r="B5" s="105"/>
      <c r="C5" s="1" t="s">
        <v>41</v>
      </c>
      <c r="D5" s="5" t="s">
        <v>30</v>
      </c>
      <c r="E5" s="3" t="s">
        <v>11</v>
      </c>
      <c r="F5" s="3" t="s">
        <v>5</v>
      </c>
      <c r="G5" s="3" t="s">
        <v>7</v>
      </c>
      <c r="H5" s="3" t="s">
        <v>37</v>
      </c>
      <c r="I5" s="3" t="s">
        <v>10</v>
      </c>
      <c r="J5" s="3" t="s">
        <v>47</v>
      </c>
      <c r="K5" s="3">
        <f>'AS-21'!K44</f>
        <v>0</v>
      </c>
      <c r="L5" s="3"/>
      <c r="M5" s="3"/>
    </row>
    <row r="6" spans="2:13" x14ac:dyDescent="0.25">
      <c r="B6" s="105"/>
      <c r="C6" s="1" t="s">
        <v>42</v>
      </c>
      <c r="D6" s="5" t="s">
        <v>28</v>
      </c>
      <c r="E6" s="3" t="s">
        <v>11</v>
      </c>
      <c r="F6" s="3" t="s">
        <v>13</v>
      </c>
      <c r="G6" s="3" t="s">
        <v>14</v>
      </c>
      <c r="H6" s="3" t="s">
        <v>38</v>
      </c>
      <c r="I6" s="3" t="s">
        <v>10</v>
      </c>
      <c r="J6" s="3" t="s">
        <v>46</v>
      </c>
      <c r="K6" s="3">
        <f>'AS-21'!K42</f>
        <v>0</v>
      </c>
      <c r="L6" s="3"/>
      <c r="M6" s="3"/>
    </row>
    <row r="7" spans="2:13" x14ac:dyDescent="0.25">
      <c r="B7" s="105"/>
      <c r="C7" s="1" t="s">
        <v>43</v>
      </c>
      <c r="D7" s="5" t="s">
        <v>30</v>
      </c>
      <c r="E7" s="3" t="s">
        <v>11</v>
      </c>
      <c r="F7" s="3" t="s">
        <v>13</v>
      </c>
      <c r="G7" s="3" t="s">
        <v>14</v>
      </c>
      <c r="H7" s="3" t="s">
        <v>38</v>
      </c>
      <c r="I7" s="3" t="s">
        <v>10</v>
      </c>
      <c r="J7" s="3" t="s">
        <v>47</v>
      </c>
      <c r="K7" s="3">
        <f>'AS-21'!K45</f>
        <v>0</v>
      </c>
      <c r="L7" s="3"/>
      <c r="M7" s="3"/>
    </row>
    <row r="8" spans="2:13" x14ac:dyDescent="0.25">
      <c r="B8" s="105"/>
      <c r="C8" s="1" t="s">
        <v>44</v>
      </c>
      <c r="D8" s="5" t="s">
        <v>29</v>
      </c>
      <c r="E8" s="3" t="s">
        <v>11</v>
      </c>
      <c r="F8" s="3" t="s">
        <v>13</v>
      </c>
      <c r="G8" s="3" t="s">
        <v>15</v>
      </c>
      <c r="H8" s="3" t="s">
        <v>37</v>
      </c>
      <c r="I8" s="3" t="s">
        <v>10</v>
      </c>
      <c r="J8" s="3" t="s">
        <v>47</v>
      </c>
      <c r="K8" s="3">
        <f>'AS-21'!K43</f>
        <v>0</v>
      </c>
      <c r="L8" s="3"/>
      <c r="M8" s="3"/>
    </row>
    <row r="9" spans="2:13" x14ac:dyDescent="0.25">
      <c r="B9" s="105"/>
      <c r="C9" s="1" t="s">
        <v>49</v>
      </c>
      <c r="D9" s="5" t="s">
        <v>30</v>
      </c>
      <c r="E9" s="3" t="s">
        <v>11</v>
      </c>
      <c r="F9" s="3" t="s">
        <v>5</v>
      </c>
      <c r="G9" s="3" t="s">
        <v>7</v>
      </c>
      <c r="H9" s="3" t="s">
        <v>37</v>
      </c>
      <c r="I9" s="3" t="s">
        <v>50</v>
      </c>
      <c r="J9" s="3" t="s">
        <v>47</v>
      </c>
      <c r="K9" s="3">
        <f>'AS-21'!K47</f>
        <v>0</v>
      </c>
      <c r="L9" s="3"/>
      <c r="M9" s="3"/>
    </row>
    <row r="10" spans="2:13" x14ac:dyDescent="0.25">
      <c r="B10" s="105"/>
      <c r="C10" s="1" t="s">
        <v>51</v>
      </c>
      <c r="D10" s="5" t="s">
        <v>30</v>
      </c>
      <c r="E10" s="3" t="s">
        <v>11</v>
      </c>
      <c r="F10" s="3" t="s">
        <v>13</v>
      </c>
      <c r="G10" s="3" t="s">
        <v>7</v>
      </c>
      <c r="H10" s="3" t="s">
        <v>38</v>
      </c>
      <c r="I10" s="3" t="s">
        <v>50</v>
      </c>
      <c r="J10" s="3" t="s">
        <v>47</v>
      </c>
      <c r="K10" s="3">
        <f>'AS-21'!K48</f>
        <v>0</v>
      </c>
      <c r="L10" s="3"/>
      <c r="M10" s="3"/>
    </row>
    <row r="11" spans="2:13" x14ac:dyDescent="0.25">
      <c r="B11" s="105"/>
      <c r="C11" s="1" t="s">
        <v>52</v>
      </c>
      <c r="D11" s="5" t="s">
        <v>30</v>
      </c>
      <c r="E11" s="3" t="s">
        <v>11</v>
      </c>
      <c r="F11" s="3" t="s">
        <v>13</v>
      </c>
      <c r="G11" s="3" t="s">
        <v>14</v>
      </c>
      <c r="H11" s="3" t="s">
        <v>38</v>
      </c>
      <c r="I11" s="3" t="s">
        <v>50</v>
      </c>
      <c r="J11" s="3" t="s">
        <v>47</v>
      </c>
      <c r="K11" s="3">
        <f>'AS-21'!K49</f>
        <v>0</v>
      </c>
      <c r="L11" s="3"/>
      <c r="M11" s="3"/>
    </row>
    <row r="12" spans="2:13" x14ac:dyDescent="0.25">
      <c r="B12" s="105"/>
      <c r="C12" s="1" t="s">
        <v>53</v>
      </c>
      <c r="D12" s="5" t="s">
        <v>29</v>
      </c>
      <c r="E12" s="3" t="s">
        <v>11</v>
      </c>
      <c r="F12" s="3" t="s">
        <v>13</v>
      </c>
      <c r="G12" s="3" t="s">
        <v>15</v>
      </c>
      <c r="H12" s="3" t="s">
        <v>38</v>
      </c>
      <c r="I12" s="3" t="s">
        <v>50</v>
      </c>
      <c r="J12" s="3" t="s">
        <v>47</v>
      </c>
      <c r="K12" s="3">
        <f>'AS-21'!K50</f>
        <v>0</v>
      </c>
      <c r="L12" s="3"/>
      <c r="M12" s="3"/>
    </row>
    <row r="13" spans="2:13" x14ac:dyDescent="0.25">
      <c r="B13" s="105"/>
      <c r="C13" s="1" t="s">
        <v>56</v>
      </c>
      <c r="D13" s="5" t="s">
        <v>30</v>
      </c>
      <c r="E13" s="3" t="s">
        <v>11</v>
      </c>
      <c r="F13" s="34" t="s">
        <v>13</v>
      </c>
      <c r="G13" s="3" t="s">
        <v>7</v>
      </c>
      <c r="H13" s="3" t="s">
        <v>38</v>
      </c>
      <c r="I13" s="3" t="s">
        <v>10</v>
      </c>
      <c r="J13" s="3" t="s">
        <v>47</v>
      </c>
      <c r="K13" s="3">
        <f>'AS-21'!K46</f>
        <v>0</v>
      </c>
      <c r="L13" s="3"/>
      <c r="M13" s="3"/>
    </row>
    <row r="14" spans="2:13" x14ac:dyDescent="0.25">
      <c r="B14" s="105"/>
      <c r="C14" s="1"/>
      <c r="D14" s="5"/>
      <c r="E14" s="3"/>
      <c r="F14" s="3"/>
      <c r="K14" s="3"/>
      <c r="L14" s="3"/>
      <c r="M14" s="3"/>
    </row>
    <row r="15" spans="2:13" x14ac:dyDescent="0.25">
      <c r="B15" s="105"/>
      <c r="C15" s="1"/>
      <c r="D15" s="5"/>
      <c r="E15" s="3"/>
      <c r="F15" s="3"/>
      <c r="K15" s="3"/>
      <c r="L15" s="3"/>
      <c r="M15" s="3"/>
    </row>
    <row r="16" spans="2:13" x14ac:dyDescent="0.25">
      <c r="B16" s="105"/>
      <c r="C16" s="1"/>
      <c r="D16" s="5"/>
      <c r="E16" s="3"/>
      <c r="F16" s="3"/>
      <c r="K16" s="3"/>
      <c r="L16" s="3"/>
      <c r="M16" s="3"/>
    </row>
    <row r="17" spans="2:13" x14ac:dyDescent="0.25">
      <c r="B17" s="105"/>
      <c r="C17" s="1"/>
      <c r="D17" s="5"/>
      <c r="E17" s="3"/>
      <c r="F17" s="3"/>
      <c r="K17" s="3"/>
      <c r="L17" s="3"/>
      <c r="M17" s="3"/>
    </row>
    <row r="18" spans="2:13" x14ac:dyDescent="0.25">
      <c r="B18" s="105"/>
      <c r="C18" s="1"/>
      <c r="D18" s="5"/>
      <c r="E18" s="3"/>
      <c r="F18" s="3"/>
      <c r="K18" s="3"/>
      <c r="L18" s="3"/>
      <c r="M18" s="3"/>
    </row>
    <row r="19" spans="2:13" x14ac:dyDescent="0.25">
      <c r="B19" s="105"/>
      <c r="C19" s="1"/>
      <c r="D19" s="5"/>
      <c r="E19" s="3"/>
      <c r="F19" s="3"/>
      <c r="K19" s="3"/>
      <c r="L19" s="3"/>
      <c r="M19" s="3"/>
    </row>
    <row r="20" spans="2:13" x14ac:dyDescent="0.25">
      <c r="F20" s="3"/>
    </row>
    <row r="23" spans="2:13" x14ac:dyDescent="0.25">
      <c r="B23" s="101" t="s">
        <v>36</v>
      </c>
      <c r="C23" s="2" t="s">
        <v>6</v>
      </c>
      <c r="D23" s="6" t="s">
        <v>25</v>
      </c>
      <c r="E23" s="6" t="s">
        <v>31</v>
      </c>
    </row>
    <row r="24" spans="2:13" x14ac:dyDescent="0.25">
      <c r="B24" s="102"/>
      <c r="C24" s="1" t="s">
        <v>36</v>
      </c>
      <c r="D24" s="3" t="s">
        <v>34</v>
      </c>
      <c r="E24" s="3" t="s">
        <v>35</v>
      </c>
    </row>
    <row r="25" spans="2:13" x14ac:dyDescent="0.25">
      <c r="B25" s="102"/>
      <c r="C25" s="1"/>
      <c r="D25" s="3"/>
      <c r="E25" s="3"/>
    </row>
    <row r="26" spans="2:13" x14ac:dyDescent="0.25">
      <c r="B26" s="102"/>
      <c r="C26" s="1"/>
      <c r="D26" s="3"/>
      <c r="E26" s="3"/>
    </row>
    <row r="27" spans="2:13" x14ac:dyDescent="0.25">
      <c r="B27" s="102"/>
      <c r="C27" s="1"/>
      <c r="D27" s="3"/>
      <c r="E27" s="3"/>
    </row>
    <row r="28" spans="2:13" x14ac:dyDescent="0.25">
      <c r="B28" s="102"/>
      <c r="C28" s="1"/>
      <c r="D28" s="3"/>
      <c r="E28" s="3"/>
    </row>
    <row r="29" spans="2:13" x14ac:dyDescent="0.25">
      <c r="B29" s="102"/>
      <c r="C29" s="1"/>
      <c r="D29" s="3"/>
      <c r="E29" s="3"/>
    </row>
    <row r="30" spans="2:13" x14ac:dyDescent="0.25">
      <c r="B30" s="103"/>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fg_Frontblenden"/>
  <dimension ref="B2:S41"/>
  <sheetViews>
    <sheetView workbookViewId="0">
      <selection activeCell="O14" sqref="O14"/>
    </sheetView>
  </sheetViews>
  <sheetFormatPr baseColWidth="10" defaultRowHeight="15" x14ac:dyDescent="0.25"/>
  <cols>
    <col min="2" max="2" width="17.7109375" customWidth="1"/>
    <col min="3" max="7" width="8.140625" customWidth="1"/>
    <col min="8" max="8" width="7.7109375" customWidth="1"/>
    <col min="9" max="9" width="9" customWidth="1"/>
    <col min="10" max="11" width="8.140625" customWidth="1"/>
    <col min="12" max="12" width="8.5703125" customWidth="1"/>
    <col min="13" max="16" width="7.7109375" customWidth="1"/>
    <col min="17" max="17" width="7.42578125" customWidth="1"/>
    <col min="18" max="18" width="35.7109375" customWidth="1"/>
    <col min="19" max="19" width="18.28515625" customWidth="1"/>
  </cols>
  <sheetData>
    <row r="2" spans="2:12" x14ac:dyDescent="0.25">
      <c r="B2" s="8" t="s">
        <v>6</v>
      </c>
      <c r="C2" s="5" t="s">
        <v>26</v>
      </c>
      <c r="D2" s="5" t="s">
        <v>27</v>
      </c>
      <c r="E2" s="5" t="s">
        <v>28</v>
      </c>
      <c r="F2" s="5" t="s">
        <v>30</v>
      </c>
      <c r="G2" s="5" t="s">
        <v>29</v>
      </c>
      <c r="H2" s="5" t="s">
        <v>54</v>
      </c>
      <c r="I2" s="5" t="s">
        <v>34</v>
      </c>
      <c r="J2" s="8"/>
      <c r="K2" s="8"/>
      <c r="L2" s="8"/>
    </row>
    <row r="3" spans="2:12" x14ac:dyDescent="0.25">
      <c r="B3" t="s">
        <v>16</v>
      </c>
      <c r="C3" s="3">
        <v>4</v>
      </c>
      <c r="D3" s="3"/>
      <c r="E3" s="3"/>
      <c r="F3" s="3"/>
      <c r="G3" s="3"/>
      <c r="H3" s="3">
        <v>1</v>
      </c>
      <c r="I3" s="3"/>
      <c r="J3" s="3"/>
      <c r="K3" s="3"/>
      <c r="L3" s="3"/>
    </row>
    <row r="4" spans="2:12" x14ac:dyDescent="0.25">
      <c r="B4" t="s">
        <v>17</v>
      </c>
      <c r="C4" s="3">
        <v>3</v>
      </c>
      <c r="D4" s="3"/>
      <c r="E4" s="3"/>
      <c r="F4" s="3"/>
      <c r="G4" s="3"/>
      <c r="H4" s="3">
        <v>1</v>
      </c>
      <c r="I4" s="3"/>
      <c r="J4" s="3"/>
      <c r="K4" s="3"/>
      <c r="L4" s="3"/>
    </row>
    <row r="5" spans="2:12" x14ac:dyDescent="0.25">
      <c r="B5" t="s">
        <v>18</v>
      </c>
      <c r="C5" s="3"/>
      <c r="D5" s="3"/>
      <c r="E5" s="3"/>
      <c r="F5" s="3"/>
      <c r="G5" s="3"/>
      <c r="H5" s="3">
        <v>2</v>
      </c>
      <c r="I5" s="3"/>
      <c r="J5" s="3"/>
      <c r="K5" s="3"/>
      <c r="L5" s="3"/>
    </row>
    <row r="6" spans="2:12" x14ac:dyDescent="0.25">
      <c r="B6" t="s">
        <v>19</v>
      </c>
      <c r="C6" s="3"/>
      <c r="D6" s="3">
        <v>2</v>
      </c>
      <c r="E6" s="3">
        <v>2</v>
      </c>
      <c r="F6" s="3"/>
      <c r="G6" s="3"/>
      <c r="H6" s="3">
        <v>0</v>
      </c>
      <c r="I6" s="3"/>
      <c r="J6" s="3"/>
      <c r="K6" s="3"/>
      <c r="L6" s="3"/>
    </row>
    <row r="7" spans="2:12" x14ac:dyDescent="0.25">
      <c r="B7" t="s">
        <v>20</v>
      </c>
      <c r="C7" s="3"/>
      <c r="D7" s="3"/>
      <c r="E7" s="3"/>
      <c r="F7" s="3"/>
      <c r="G7" s="3"/>
      <c r="H7" s="3">
        <v>1</v>
      </c>
      <c r="I7" s="3">
        <v>1</v>
      </c>
      <c r="J7" s="3"/>
      <c r="K7" s="3"/>
      <c r="L7" s="3"/>
    </row>
    <row r="8" spans="2:12" x14ac:dyDescent="0.25">
      <c r="B8" t="s">
        <v>21</v>
      </c>
      <c r="C8" s="3">
        <v>1</v>
      </c>
      <c r="D8" s="3"/>
      <c r="E8" s="3"/>
      <c r="F8" s="3">
        <v>1</v>
      </c>
      <c r="G8" s="3"/>
      <c r="H8" s="3">
        <v>1</v>
      </c>
      <c r="I8" s="3"/>
      <c r="J8" s="3"/>
      <c r="K8" s="3"/>
      <c r="L8" s="3"/>
    </row>
    <row r="9" spans="2:12" x14ac:dyDescent="0.25">
      <c r="B9" t="s">
        <v>22</v>
      </c>
      <c r="C9" s="3">
        <v>3</v>
      </c>
      <c r="D9" s="3"/>
      <c r="E9" s="3"/>
      <c r="F9" s="3">
        <v>1</v>
      </c>
      <c r="G9" s="3"/>
      <c r="H9" s="3">
        <v>1</v>
      </c>
      <c r="I9" s="3"/>
      <c r="J9" s="3"/>
      <c r="K9" s="3"/>
      <c r="L9" s="3"/>
    </row>
    <row r="10" spans="2:12" x14ac:dyDescent="0.25">
      <c r="B10" t="s">
        <v>23</v>
      </c>
      <c r="C10" s="3"/>
      <c r="D10" s="3"/>
      <c r="E10" s="3"/>
      <c r="F10" s="3">
        <v>3</v>
      </c>
      <c r="G10" s="3"/>
      <c r="H10" s="3">
        <v>1</v>
      </c>
      <c r="I10" s="3"/>
      <c r="J10" s="3"/>
      <c r="K10" s="3"/>
      <c r="L10" s="3"/>
    </row>
    <row r="11" spans="2:12" x14ac:dyDescent="0.25">
      <c r="B11" t="s">
        <v>24</v>
      </c>
      <c r="C11" s="3">
        <v>2</v>
      </c>
      <c r="D11" s="3"/>
      <c r="E11" s="3"/>
      <c r="F11" s="3"/>
      <c r="G11" s="3"/>
      <c r="H11" s="3">
        <v>1</v>
      </c>
      <c r="I11" s="3"/>
      <c r="J11" s="3"/>
      <c r="K11" s="3"/>
      <c r="L11" s="3"/>
    </row>
    <row r="12" spans="2:12" x14ac:dyDescent="0.25">
      <c r="C12" s="3"/>
      <c r="D12" s="3"/>
      <c r="E12" s="3"/>
      <c r="F12" s="3"/>
      <c r="G12" s="3"/>
      <c r="H12" s="3"/>
      <c r="I12" s="3"/>
      <c r="J12" s="3"/>
      <c r="K12" s="3"/>
      <c r="L12" s="3"/>
    </row>
    <row r="13" spans="2:12" x14ac:dyDescent="0.25">
      <c r="C13" s="3"/>
      <c r="D13" s="3"/>
      <c r="E13" s="3"/>
      <c r="F13" s="3"/>
      <c r="G13" s="3"/>
      <c r="H13" s="3"/>
      <c r="I13" s="3"/>
      <c r="J13" s="3"/>
      <c r="K13" s="3"/>
      <c r="L13" s="3"/>
    </row>
    <row r="14" spans="2:12" x14ac:dyDescent="0.25">
      <c r="C14" s="3"/>
      <c r="D14" s="3"/>
      <c r="E14" s="3"/>
      <c r="F14" s="3"/>
      <c r="G14" s="3"/>
      <c r="H14" s="3"/>
      <c r="I14" s="3"/>
      <c r="J14" s="3"/>
      <c r="K14" s="3"/>
      <c r="L14" s="3"/>
    </row>
    <row r="15" spans="2:12" x14ac:dyDescent="0.25">
      <c r="C15" s="3"/>
      <c r="D15" s="3"/>
      <c r="E15" s="3"/>
      <c r="F15" s="3"/>
      <c r="G15" s="3"/>
      <c r="H15" s="3"/>
      <c r="I15" s="3"/>
      <c r="J15" s="3"/>
      <c r="K15" s="3"/>
      <c r="L15" s="3"/>
    </row>
    <row r="16" spans="2:12" x14ac:dyDescent="0.25">
      <c r="C16" s="3"/>
      <c r="D16" s="3"/>
      <c r="E16" s="3"/>
      <c r="F16" s="3"/>
      <c r="G16" s="3"/>
      <c r="H16" s="3"/>
      <c r="I16" s="3"/>
      <c r="J16" s="3"/>
      <c r="K16" s="3"/>
      <c r="L16" s="3"/>
    </row>
    <row r="17" spans="2:19" x14ac:dyDescent="0.25">
      <c r="C17" s="3"/>
      <c r="D17" s="3"/>
      <c r="E17" s="3"/>
      <c r="F17" s="3"/>
      <c r="G17" s="3"/>
      <c r="H17" s="3"/>
      <c r="I17" s="3"/>
      <c r="J17" s="3"/>
      <c r="K17" s="3"/>
      <c r="L17" s="3"/>
    </row>
    <row r="18" spans="2:19" x14ac:dyDescent="0.25">
      <c r="C18" s="3"/>
      <c r="D18" s="3"/>
      <c r="E18" s="3"/>
      <c r="F18" s="3"/>
      <c r="G18" s="3"/>
      <c r="H18" s="3"/>
      <c r="I18" s="3"/>
      <c r="J18" s="3"/>
      <c r="K18" s="3"/>
      <c r="L18" s="3"/>
    </row>
    <row r="19" spans="2:19" x14ac:dyDescent="0.25">
      <c r="C19" s="3"/>
      <c r="D19" s="3"/>
      <c r="E19" s="3"/>
      <c r="F19" s="3"/>
      <c r="G19" s="3"/>
      <c r="H19" s="3"/>
      <c r="I19" s="3"/>
      <c r="J19" s="3"/>
      <c r="K19" s="3"/>
      <c r="L19" s="3"/>
    </row>
    <row r="20" spans="2:19" ht="15.75" customHeight="1" x14ac:dyDescent="0.25">
      <c r="E20" s="108" t="s">
        <v>32</v>
      </c>
      <c r="F20" s="108"/>
      <c r="G20" s="108"/>
      <c r="H20" s="108"/>
      <c r="I20" s="108"/>
      <c r="J20" s="108"/>
      <c r="K20" s="108"/>
      <c r="L20" s="108"/>
      <c r="M20" s="108"/>
      <c r="N20" s="108"/>
      <c r="O20" s="108"/>
      <c r="P20" s="108"/>
    </row>
    <row r="21" spans="2:19" x14ac:dyDescent="0.25">
      <c r="B21" s="29"/>
      <c r="C21" s="76" t="s">
        <v>54</v>
      </c>
      <c r="D21" s="77"/>
      <c r="E21" s="33" t="s">
        <v>26</v>
      </c>
      <c r="F21" s="7"/>
      <c r="G21" s="33" t="s">
        <v>27</v>
      </c>
      <c r="H21" s="7"/>
      <c r="I21" s="33" t="s">
        <v>28</v>
      </c>
      <c r="J21" s="7"/>
      <c r="K21" s="33" t="s">
        <v>29</v>
      </c>
      <c r="L21" s="7"/>
      <c r="M21" s="33" t="s">
        <v>30</v>
      </c>
      <c r="N21" s="7"/>
      <c r="O21" s="33" t="s">
        <v>34</v>
      </c>
      <c r="P21" s="7"/>
    </row>
    <row r="22" spans="2:19" x14ac:dyDescent="0.25">
      <c r="B22" s="29" t="s">
        <v>16</v>
      </c>
      <c r="C22" s="106">
        <v>1</v>
      </c>
      <c r="D22" s="107"/>
      <c r="E22" s="106">
        <v>4</v>
      </c>
      <c r="F22" s="107"/>
      <c r="G22" s="109">
        <v>0</v>
      </c>
      <c r="H22" s="110"/>
      <c r="I22" s="106">
        <v>0</v>
      </c>
      <c r="J22" s="107"/>
      <c r="K22" s="106">
        <v>0</v>
      </c>
      <c r="L22" s="107"/>
      <c r="M22" s="106">
        <v>0</v>
      </c>
      <c r="N22" s="107"/>
      <c r="O22" s="109">
        <v>0</v>
      </c>
      <c r="P22" s="110"/>
      <c r="R22" t="str">
        <f>$C$21&amp;"x"&amp;C22&amp;"/"&amp;$E$21&amp;"x"&amp;E22&amp;"/"&amp;$G$21&amp;"x"&amp;G22&amp;"/"&amp;$I$21&amp;"x"&amp;I22&amp;"/"&amp;$K$21&amp;"x"&amp;K22&amp;"/"&amp;$M$21&amp;"x"&amp;M22&amp;"/"&amp;$O$21&amp;"x"&amp;O22</f>
        <v>STx1/38x38x4/45x45x0/60x60x0/90x90x0/70x70x0/D=22,5x0</v>
      </c>
    </row>
    <row r="23" spans="2:19" x14ac:dyDescent="0.25">
      <c r="B23" s="29"/>
      <c r="C23" t="str">
        <f>IF(IFERROR(FIND($C$21&amp;"x"&amp;#REF!,$R22),"")&lt;&gt;"","match","")</f>
        <v/>
      </c>
      <c r="D23" s="26"/>
      <c r="E23" t="str">
        <f>IF(IFERROR(FIND(VLOOKUP(#REF!,Setup_Steckdosen[],3,0)&amp;"x"&amp;#REF!,Config_Frontblenden!$R22),"")&lt;&gt;"","match","")</f>
        <v/>
      </c>
      <c r="F23" s="26"/>
      <c r="G23" t="str">
        <f>IF(IFERROR(FIND(VLOOKUP(#REF!,Setup_Steckdosen[],3,0)&amp;"x"&amp;#REF!+#REF!+#REF!+#REF!+#REF!,Config_Frontblenden!$R22),"")&lt;&gt;"","match","")</f>
        <v/>
      </c>
      <c r="H23" s="26"/>
      <c r="I23" t="str">
        <f>IF(IFERROR(FIND(VLOOKUP(#REF!,Setup_Steckdosen[],3,0)&amp;"x"&amp;#REF!,Config_Frontblenden!$R22),"")&lt;&gt;"","match","")</f>
        <v/>
      </c>
      <c r="J23" s="26"/>
      <c r="K23" t="str">
        <f>IF(IFERROR(FIND(VLOOKUP(#REF!,Setup_Steckdosen[],3,0)&amp;"x"&amp;#REF!+#REF!,Config_Frontblenden!$R22),"")&lt;&gt;"","match","")</f>
        <v/>
      </c>
      <c r="L23" s="26"/>
      <c r="M23" t="str">
        <f>IF(IFERROR(FIND(VLOOKUP(#REF!,Setup_Steckdosen[],3,0)&amp;"x"&amp;#REF!+#REF!,Config_Frontblenden!$R22),"")&lt;&gt;"","match","")</f>
        <v/>
      </c>
      <c r="N23" s="26"/>
      <c r="O23" t="str">
        <f>IF(IFERROR(FIND(VLOOKUP(#REF!,Setup_Taster[],3,0)&amp;"x"&amp;#REF!,Config_Frontblenden!$R22),"")&lt;&gt;"","match","")</f>
        <v/>
      </c>
      <c r="P23" s="28"/>
      <c r="S23" t="str">
        <f>IF(AND(C23&lt;&gt;"",E23&lt;&gt;"",G23&lt;&gt;"",I23&lt;&gt;"",K23&lt;&gt;"",M23&lt;&gt;"",O23&lt;&gt;""),"ok","0")</f>
        <v>0</v>
      </c>
    </row>
    <row r="24" spans="2:19" x14ac:dyDescent="0.25">
      <c r="B24" s="27" t="s">
        <v>17</v>
      </c>
      <c r="C24" s="106">
        <v>1</v>
      </c>
      <c r="D24" s="107"/>
      <c r="E24" s="106">
        <v>3</v>
      </c>
      <c r="F24" s="107"/>
      <c r="G24" s="106">
        <v>0</v>
      </c>
      <c r="H24" s="107"/>
      <c r="I24" s="106">
        <v>0</v>
      </c>
      <c r="J24" s="107"/>
      <c r="K24" s="106">
        <v>0</v>
      </c>
      <c r="L24" s="107"/>
      <c r="M24" s="106">
        <v>0</v>
      </c>
      <c r="N24" s="107"/>
      <c r="O24" s="106">
        <v>0</v>
      </c>
      <c r="P24" s="107"/>
      <c r="R24" t="str">
        <f>$C$21&amp;"x"&amp;C24&amp;"/"&amp;$E$21&amp;"x"&amp;E24&amp;"/"&amp;$G$21&amp;"x"&amp;G24&amp;"/"&amp;$I$21&amp;"x"&amp;I24&amp;"/"&amp;$K$21&amp;"x"&amp;K24&amp;"/"&amp;$M$21&amp;"x"&amp;M24&amp;"/"&amp;$O$21&amp;"x"&amp;O24</f>
        <v>STx1/38x38x3/45x45x0/60x60x0/90x90x0/70x70x0/D=22,5x0</v>
      </c>
    </row>
    <row r="25" spans="2:19" x14ac:dyDescent="0.25">
      <c r="B25" s="27"/>
      <c r="C25" t="str">
        <f>IF(IFERROR(FIND($C$21&amp;"x"&amp;#REF!,$R24),"")&lt;&gt;"","match","")</f>
        <v/>
      </c>
      <c r="D25" s="26"/>
      <c r="E25" t="str">
        <f>IF(IFERROR(FIND(VLOOKUP(#REF!,Setup_Steckdosen[],3,0)&amp;"x"&amp;#REF!,Config_Frontblenden!$R24),"")&lt;&gt;"","match","")</f>
        <v/>
      </c>
      <c r="F25" s="26"/>
      <c r="G25" t="str">
        <f>IF(IFERROR(FIND(VLOOKUP(#REF!,Setup_Steckdosen[],3,0)&amp;"x"&amp;#REF!+#REF!+#REF!+#REF!+#REF!,Config_Frontblenden!$R24),"")&lt;&gt;"","match","")</f>
        <v/>
      </c>
      <c r="H25" s="26"/>
      <c r="I25" t="str">
        <f>IF(IFERROR(FIND(VLOOKUP(#REF!,Setup_Steckdosen[],3,0)&amp;"x"&amp;#REF!,Config_Frontblenden!$R24),"")&lt;&gt;"","match","")</f>
        <v/>
      </c>
      <c r="J25" s="26"/>
      <c r="K25" t="str">
        <f>IF(IFERROR(FIND(VLOOKUP(#REF!,Setup_Steckdosen[],3,0)&amp;"x"&amp;#REF!+#REF!,Config_Frontblenden!$R24),"")&lt;&gt;"","match","")</f>
        <v/>
      </c>
      <c r="L25" s="26"/>
      <c r="M25" t="str">
        <f>IF(IFERROR(FIND(VLOOKUP(#REF!,Setup_Steckdosen[],3,0)&amp;"x"&amp;#REF!+#REF!,Config_Frontblenden!$R24),"")&lt;&gt;"","match","")</f>
        <v/>
      </c>
      <c r="N25" s="26"/>
      <c r="O25" t="str">
        <f>IF(IFERROR(FIND(VLOOKUP(#REF!,Setup_Taster[],3,0)&amp;"x"&amp;#REF!,Config_Frontblenden!$R24),"")&lt;&gt;"","match","")</f>
        <v/>
      </c>
      <c r="P25" s="28"/>
      <c r="S25" t="str">
        <f>IF(AND(C25&lt;&gt;"",E25&lt;&gt;"",G25&lt;&gt;"",I25&lt;&gt;"",K25&lt;&gt;"",M25&lt;&gt;"",O25&lt;&gt;""),"ok","0")</f>
        <v>0</v>
      </c>
    </row>
    <row r="26" spans="2:19" x14ac:dyDescent="0.25">
      <c r="B26" s="27" t="s">
        <v>18</v>
      </c>
      <c r="C26" s="106">
        <v>2</v>
      </c>
      <c r="D26" s="107"/>
      <c r="E26" s="106">
        <v>0</v>
      </c>
      <c r="F26" s="107"/>
      <c r="G26" s="106">
        <v>0</v>
      </c>
      <c r="H26" s="107"/>
      <c r="I26" s="106">
        <v>0</v>
      </c>
      <c r="J26" s="107"/>
      <c r="K26" s="106">
        <v>0</v>
      </c>
      <c r="L26" s="107"/>
      <c r="M26" s="106">
        <v>0</v>
      </c>
      <c r="N26" s="107"/>
      <c r="O26" s="106">
        <v>0</v>
      </c>
      <c r="P26" s="107"/>
      <c r="R26" t="str">
        <f>$C$21&amp;"x"&amp;C26&amp;"/"&amp;$E$21&amp;"x"&amp;E26&amp;"/"&amp;$G$21&amp;"x"&amp;G26&amp;"/"&amp;$I$21&amp;"x"&amp;I26&amp;"/"&amp;$K$21&amp;"x"&amp;K26&amp;"/"&amp;$M$21&amp;"x"&amp;M26&amp;"/"&amp;$O$21&amp;"x"&amp;O26</f>
        <v>STx2/38x38x0/45x45x0/60x60x0/90x90x0/70x70x0/D=22,5x0</v>
      </c>
    </row>
    <row r="27" spans="2:19" x14ac:dyDescent="0.25">
      <c r="B27" s="27"/>
      <c r="C27" t="str">
        <f>IF(IFERROR(FIND($C$21&amp;"x"&amp;#REF!,$R26),"")&lt;&gt;"","match","")</f>
        <v/>
      </c>
      <c r="D27" s="26"/>
      <c r="E27" t="str">
        <f>IF(IFERROR(FIND(VLOOKUP(#REF!,Setup_Steckdosen[],3,0)&amp;"x"&amp;#REF!,Config_Frontblenden!$R26),"")&lt;&gt;"","match","")</f>
        <v/>
      </c>
      <c r="F27" s="26"/>
      <c r="G27" t="str">
        <f>IF(IFERROR(FIND(VLOOKUP(#REF!,Setup_Steckdosen[],3,0)&amp;"x"&amp;#REF!+#REF!+#REF!+#REF!+#REF!,Config_Frontblenden!$R26),"")&lt;&gt;"","match","")</f>
        <v/>
      </c>
      <c r="H27" s="26"/>
      <c r="I27" t="str">
        <f>IF(IFERROR(FIND(VLOOKUP(#REF!,Setup_Steckdosen[],3,0)&amp;"x"&amp;#REF!,Config_Frontblenden!$R26),"")&lt;&gt;"","match","")</f>
        <v/>
      </c>
      <c r="J27" s="26"/>
      <c r="K27" t="str">
        <f>IF(IFERROR(FIND(VLOOKUP(#REF!,Setup_Steckdosen[],3,0)&amp;"x"&amp;#REF!+#REF!,Config_Frontblenden!$R26),"")&lt;&gt;"","match","")</f>
        <v/>
      </c>
      <c r="L27" s="26"/>
      <c r="M27" t="str">
        <f>IF(IFERROR(FIND(VLOOKUP(#REF!,Setup_Steckdosen[],3,0)&amp;"x"&amp;#REF!+#REF!,Config_Frontblenden!$R26),"")&lt;&gt;"","match","")</f>
        <v/>
      </c>
      <c r="N27" s="26"/>
      <c r="O27" t="str">
        <f>IF(IFERROR(FIND(VLOOKUP(#REF!,Setup_Taster[],3,0)&amp;"x"&amp;#REF!,Config_Frontblenden!$R26),"")&lt;&gt;"","match","")</f>
        <v/>
      </c>
      <c r="P27" s="28"/>
      <c r="S27" t="str">
        <f>IF(AND(C27&lt;&gt;"",E27&lt;&gt;"",G27&lt;&gt;"",I27&lt;&gt;"",K27&lt;&gt;"",M27&lt;&gt;"",O27&lt;&gt;""),"ok","0")</f>
        <v>0</v>
      </c>
    </row>
    <row r="28" spans="2:19" x14ac:dyDescent="0.25">
      <c r="B28" s="27" t="s">
        <v>19</v>
      </c>
      <c r="C28" s="106">
        <v>0</v>
      </c>
      <c r="D28" s="107"/>
      <c r="E28" s="106">
        <v>0</v>
      </c>
      <c r="F28" s="107"/>
      <c r="G28" s="106">
        <v>2</v>
      </c>
      <c r="H28" s="107"/>
      <c r="I28" s="106">
        <v>2</v>
      </c>
      <c r="J28" s="107"/>
      <c r="K28" s="106">
        <v>0</v>
      </c>
      <c r="L28" s="107"/>
      <c r="M28" s="106">
        <v>0</v>
      </c>
      <c r="N28" s="107"/>
      <c r="O28" s="106">
        <v>0</v>
      </c>
      <c r="P28" s="107"/>
      <c r="R28" t="str">
        <f>$C$21&amp;"x"&amp;C28&amp;"/"&amp;$E$21&amp;"x"&amp;E28&amp;"/"&amp;$G$21&amp;"x"&amp;G28&amp;"/"&amp;$I$21&amp;"x"&amp;I28&amp;"/"&amp;$K$21&amp;"x"&amp;K28&amp;"/"&amp;$M$21&amp;"x"&amp;M28&amp;"/"&amp;$O$21&amp;"x"&amp;O28</f>
        <v>STx0/38x38x0/45x45x2/60x60x2/90x90x0/70x70x0/D=22,5x0</v>
      </c>
    </row>
    <row r="29" spans="2:19" x14ac:dyDescent="0.25">
      <c r="B29" s="27"/>
      <c r="C29" t="str">
        <f>IF(IFERROR(FIND($C$21&amp;"x"&amp;#REF!,$R28),"")&lt;&gt;"","match","")</f>
        <v/>
      </c>
      <c r="D29" s="26"/>
      <c r="E29" t="str">
        <f>IF(IFERROR(FIND(VLOOKUP(#REF!,Setup_Steckdosen[],3,0)&amp;"x"&amp;#REF!,Config_Frontblenden!$R28),"")&lt;&gt;"","match","")</f>
        <v/>
      </c>
      <c r="F29" s="26"/>
      <c r="G29" t="str">
        <f>IF(IFERROR(FIND(VLOOKUP(#REF!,Setup_Steckdosen[],3,0)&amp;"x"&amp;#REF!+#REF!+#REF!+#REF!+#REF!,Config_Frontblenden!$R28),"")&lt;&gt;"","match","")</f>
        <v/>
      </c>
      <c r="H29" s="26"/>
      <c r="I29" t="str">
        <f>IF(IFERROR(FIND(VLOOKUP(#REF!,Setup_Steckdosen[],3,0)&amp;"x"&amp;#REF!,Config_Frontblenden!$R28),"")&lt;&gt;"","match","")</f>
        <v/>
      </c>
      <c r="J29" s="26"/>
      <c r="K29" t="str">
        <f>IF(IFERROR(FIND(VLOOKUP(#REF!,Setup_Steckdosen[],3,0)&amp;"x"&amp;#REF!+#REF!,Config_Frontblenden!$R28),"")&lt;&gt;"","match","")</f>
        <v/>
      </c>
      <c r="L29" s="26"/>
      <c r="M29" t="str">
        <f>IF(IFERROR(FIND(VLOOKUP(#REF!,Setup_Steckdosen[],3,0)&amp;"x"&amp;#REF!+#REF!,Config_Frontblenden!$R28),"")&lt;&gt;"","match","")</f>
        <v/>
      </c>
      <c r="N29" s="26"/>
      <c r="O29" t="str">
        <f>IF(IFERROR(FIND(VLOOKUP(#REF!,Setup_Taster[],3,0)&amp;"x"&amp;#REF!,Config_Frontblenden!$R28),"")&lt;&gt;"","match","")</f>
        <v/>
      </c>
      <c r="P29" s="28"/>
      <c r="S29" t="str">
        <f>IF(AND(C29&lt;&gt;"",E29&lt;&gt;"",G29&lt;&gt;"",I29&lt;&gt;"",K29&lt;&gt;"",M29&lt;&gt;"",O29&lt;&gt;""),"ok","0")</f>
        <v>0</v>
      </c>
    </row>
    <row r="30" spans="2:19" x14ac:dyDescent="0.25">
      <c r="B30" s="27" t="s">
        <v>20</v>
      </c>
      <c r="C30" s="106">
        <v>1</v>
      </c>
      <c r="D30" s="107"/>
      <c r="E30" s="106">
        <v>0</v>
      </c>
      <c r="F30" s="107"/>
      <c r="G30" s="106">
        <v>0</v>
      </c>
      <c r="H30" s="107"/>
      <c r="I30" s="106">
        <v>0</v>
      </c>
      <c r="J30" s="107"/>
      <c r="K30" s="106">
        <v>0</v>
      </c>
      <c r="L30" s="107"/>
      <c r="M30" s="106">
        <v>0</v>
      </c>
      <c r="N30" s="107"/>
      <c r="O30" s="106">
        <v>1</v>
      </c>
      <c r="P30" s="107"/>
      <c r="R30" t="str">
        <f>$C$21&amp;"x"&amp;C30&amp;"/"&amp;$E$21&amp;"x"&amp;E30&amp;"/"&amp;$G$21&amp;"x"&amp;G30&amp;"/"&amp;$I$21&amp;"x"&amp;I30&amp;"/"&amp;$K$21&amp;"x"&amp;K30&amp;"/"&amp;$M$21&amp;"x"&amp;M30&amp;"/"&amp;$O$21&amp;"x"&amp;O30</f>
        <v>STx1/38x38x0/45x45x0/60x60x0/90x90x0/70x70x0/D=22,5x1</v>
      </c>
    </row>
    <row r="31" spans="2:19" x14ac:dyDescent="0.25">
      <c r="B31" s="27"/>
      <c r="C31" t="str">
        <f>IF(IFERROR(FIND($C$21&amp;"x"&amp;#REF!,$R30),"")&lt;&gt;"","match","")</f>
        <v/>
      </c>
      <c r="D31" s="26"/>
      <c r="E31" t="str">
        <f>IF(IFERROR(FIND(VLOOKUP(#REF!,Setup_Steckdosen[],3,0)&amp;"x"&amp;#REF!,Config_Frontblenden!$R30),"")&lt;&gt;"","match","")</f>
        <v/>
      </c>
      <c r="F31" s="26"/>
      <c r="G31" t="str">
        <f>IF(IFERROR(FIND(VLOOKUP(#REF!,Setup_Steckdosen[],3,0)&amp;"x"&amp;#REF!+#REF!+#REF!+#REF!+#REF!,Config_Frontblenden!$R30),"")&lt;&gt;"","match","")</f>
        <v/>
      </c>
      <c r="H31" s="26"/>
      <c r="I31" t="str">
        <f>IF(IFERROR(FIND(VLOOKUP(#REF!,Setup_Steckdosen[],3,0)&amp;"x"&amp;#REF!,Config_Frontblenden!$R30),"")&lt;&gt;"","match","")</f>
        <v/>
      </c>
      <c r="J31" s="26"/>
      <c r="K31" t="str">
        <f>IF(IFERROR(FIND(VLOOKUP(#REF!,Setup_Steckdosen[],3,0)&amp;"x"&amp;#REF!+#REF!,Config_Frontblenden!$R30),"")&lt;&gt;"","match","")</f>
        <v/>
      </c>
      <c r="L31" s="26"/>
      <c r="M31" t="str">
        <f>IF(IFERROR(FIND(VLOOKUP(#REF!,Setup_Steckdosen[],3,0)&amp;"x"&amp;#REF!+#REF!,Config_Frontblenden!$R30),"")&lt;&gt;"","match","")</f>
        <v/>
      </c>
      <c r="N31" s="26"/>
      <c r="O31" t="str">
        <f>IF(IFERROR(FIND(VLOOKUP(#REF!,Setup_Taster[],3,0)&amp;"x"&amp;#REF!,Config_Frontblenden!$R30),"")&lt;&gt;"","match","")</f>
        <v/>
      </c>
      <c r="P31" s="28"/>
      <c r="S31" t="str">
        <f>IF(AND(C31&lt;&gt;"",E31&lt;&gt;"",G31&lt;&gt;"",I31&lt;&gt;"",K31&lt;&gt;"",M31&lt;&gt;"",O31&lt;&gt;""),"ok","0")</f>
        <v>0</v>
      </c>
    </row>
    <row r="32" spans="2:19" x14ac:dyDescent="0.25">
      <c r="B32" s="27" t="s">
        <v>21</v>
      </c>
      <c r="C32" s="106">
        <v>1</v>
      </c>
      <c r="D32" s="107"/>
      <c r="E32" s="106">
        <v>1</v>
      </c>
      <c r="F32" s="107"/>
      <c r="G32" s="106">
        <v>0</v>
      </c>
      <c r="H32" s="107"/>
      <c r="I32" s="106">
        <v>0</v>
      </c>
      <c r="J32" s="107"/>
      <c r="K32" s="106">
        <v>0</v>
      </c>
      <c r="L32" s="107"/>
      <c r="M32" s="106">
        <v>1</v>
      </c>
      <c r="N32" s="107"/>
      <c r="O32" s="106">
        <v>0</v>
      </c>
      <c r="P32" s="107"/>
      <c r="R32" t="str">
        <f>$C$21&amp;"x"&amp;C32&amp;"/"&amp;$E$21&amp;"x"&amp;E32&amp;"/"&amp;$G$21&amp;"x"&amp;G32&amp;"/"&amp;$I$21&amp;"x"&amp;I32&amp;"/"&amp;$K$21&amp;"x"&amp;K32&amp;"/"&amp;$M$21&amp;"x"&amp;M32&amp;"/"&amp;$O$21&amp;"x"&amp;O32</f>
        <v>STx1/38x38x1/45x45x0/60x60x0/90x90x0/70x70x1/D=22,5x0</v>
      </c>
    </row>
    <row r="33" spans="2:19" x14ac:dyDescent="0.25">
      <c r="B33" s="27"/>
      <c r="C33" t="str">
        <f>IF(IFERROR(FIND($C$21&amp;"x"&amp;#REF!,$R32),"")&lt;&gt;"","match","")</f>
        <v/>
      </c>
      <c r="D33" s="26"/>
      <c r="E33" t="str">
        <f>IF(IFERROR(FIND(VLOOKUP(#REF!,Setup_Steckdosen[],3,0)&amp;"x"&amp;#REF!,Config_Frontblenden!$R32),"")&lt;&gt;"","match","")</f>
        <v/>
      </c>
      <c r="F33" s="26"/>
      <c r="G33" t="str">
        <f>IF(IFERROR(FIND(VLOOKUP(#REF!,Setup_Steckdosen[],3,0)&amp;"x"&amp;#REF!+#REF!+#REF!+#REF!+#REF!,Config_Frontblenden!$R32),"")&lt;&gt;"","match","")</f>
        <v/>
      </c>
      <c r="H33" s="26"/>
      <c r="I33" t="str">
        <f>IF(IFERROR(FIND(VLOOKUP(#REF!,Setup_Steckdosen[],3,0)&amp;"x"&amp;#REF!,Config_Frontblenden!$R32),"")&lt;&gt;"","match","")</f>
        <v/>
      </c>
      <c r="J33" s="26"/>
      <c r="K33" t="str">
        <f>IF(IFERROR(FIND(VLOOKUP(#REF!,Setup_Steckdosen[],3,0)&amp;"x"&amp;#REF!+#REF!,Config_Frontblenden!$R32),"")&lt;&gt;"","match","")</f>
        <v/>
      </c>
      <c r="L33" s="26"/>
      <c r="M33" t="str">
        <f>IF(IFERROR(FIND(VLOOKUP(#REF!,Setup_Steckdosen[],3,0)&amp;"x"&amp;#REF!+#REF!,Config_Frontblenden!$R32),"")&lt;&gt;"","match","")</f>
        <v/>
      </c>
      <c r="N33" s="26"/>
      <c r="O33" t="str">
        <f>IF(IFERROR(FIND(VLOOKUP(#REF!,Setup_Taster[],3,0)&amp;"x"&amp;#REF!,Config_Frontblenden!$R32),"")&lt;&gt;"","match","")</f>
        <v/>
      </c>
      <c r="P33" s="28"/>
      <c r="S33" t="str">
        <f>IF(AND(C33&lt;&gt;"",E33&lt;&gt;"",G33&lt;&gt;"",I33&lt;&gt;"",K33&lt;&gt;"",M33&lt;&gt;"",O33&lt;&gt;""),"ok","0")</f>
        <v>0</v>
      </c>
    </row>
    <row r="34" spans="2:19" x14ac:dyDescent="0.25">
      <c r="B34" s="27" t="s">
        <v>22</v>
      </c>
      <c r="C34" s="106">
        <v>1</v>
      </c>
      <c r="D34" s="107"/>
      <c r="E34" s="106">
        <v>3</v>
      </c>
      <c r="F34" s="107"/>
      <c r="G34" s="106">
        <v>0</v>
      </c>
      <c r="H34" s="107"/>
      <c r="I34" s="106">
        <v>0</v>
      </c>
      <c r="J34" s="107"/>
      <c r="K34" s="106">
        <v>0</v>
      </c>
      <c r="L34" s="107"/>
      <c r="M34" s="106">
        <v>1</v>
      </c>
      <c r="N34" s="107"/>
      <c r="O34" s="106">
        <v>0</v>
      </c>
      <c r="P34" s="107"/>
      <c r="R34" t="str">
        <f>$C$21&amp;"x"&amp;C34&amp;"/"&amp;$E$21&amp;"x"&amp;E34&amp;"/"&amp;$G$21&amp;"x"&amp;G34&amp;"/"&amp;$I$21&amp;"x"&amp;I34&amp;"/"&amp;$K$21&amp;"x"&amp;K34&amp;"/"&amp;$M$21&amp;"x"&amp;M34&amp;"/"&amp;$O$21&amp;"x"&amp;O34</f>
        <v>STx1/38x38x3/45x45x0/60x60x0/90x90x0/70x70x1/D=22,5x0</v>
      </c>
    </row>
    <row r="35" spans="2:19" x14ac:dyDescent="0.25">
      <c r="B35" s="27"/>
      <c r="C35" t="str">
        <f>IF(IFERROR(FIND($C$21&amp;"x"&amp;#REF!,$R34),"")&lt;&gt;"","match","")</f>
        <v/>
      </c>
      <c r="D35" s="26"/>
      <c r="E35" t="str">
        <f>IF(IFERROR(FIND(VLOOKUP(#REF!,Setup_Steckdosen[],3,0)&amp;"x"&amp;#REF!,Config_Frontblenden!$R34),"")&lt;&gt;"","match","")</f>
        <v/>
      </c>
      <c r="F35" s="26"/>
      <c r="G35" t="str">
        <f>IF(IFERROR(FIND(VLOOKUP(#REF!,Setup_Steckdosen[],3,0)&amp;"x"&amp;#REF!+#REF!+#REF!+#REF!+#REF!,Config_Frontblenden!$R34),"")&lt;&gt;"","match","")</f>
        <v/>
      </c>
      <c r="H35" s="26"/>
      <c r="I35" t="str">
        <f>IF(IFERROR(FIND(VLOOKUP(#REF!,Setup_Steckdosen[],3,0)&amp;"x"&amp;#REF!,Config_Frontblenden!$R34),"")&lt;&gt;"","match","")</f>
        <v/>
      </c>
      <c r="J35" s="26"/>
      <c r="K35" t="str">
        <f>IF(IFERROR(FIND(VLOOKUP(#REF!,Setup_Steckdosen[],3,0)&amp;"x"&amp;#REF!+#REF!,Config_Frontblenden!$R34),"")&lt;&gt;"","match","")</f>
        <v/>
      </c>
      <c r="L35" s="26"/>
      <c r="M35" t="str">
        <f>IF(IFERROR(FIND(VLOOKUP(#REF!,Setup_Steckdosen[],3,0)&amp;"x"&amp;#REF!+#REF!,Config_Frontblenden!$R34),"")&lt;&gt;"","match","")</f>
        <v/>
      </c>
      <c r="N35" s="26"/>
      <c r="O35" t="str">
        <f>IF(IFERROR(FIND(VLOOKUP(#REF!,Setup_Taster[],3,0)&amp;"x"&amp;#REF!,Config_Frontblenden!$R34),"")&lt;&gt;"","match","")</f>
        <v/>
      </c>
      <c r="P35" s="28"/>
      <c r="S35" t="str">
        <f>IF(AND(C35&lt;&gt;"",E35&lt;&gt;"",G35&lt;&gt;"",I35&lt;&gt;"",K35&lt;&gt;"",M35&lt;&gt;"",O35&lt;&gt;""),"ok","0")</f>
        <v>0</v>
      </c>
    </row>
    <row r="36" spans="2:19" x14ac:dyDescent="0.25">
      <c r="B36" s="27" t="s">
        <v>23</v>
      </c>
      <c r="C36" s="106">
        <v>1</v>
      </c>
      <c r="D36" s="107"/>
      <c r="E36" s="106">
        <v>0</v>
      </c>
      <c r="F36" s="107"/>
      <c r="G36" s="106">
        <v>0</v>
      </c>
      <c r="H36" s="107"/>
      <c r="I36" s="106">
        <v>0</v>
      </c>
      <c r="J36" s="107"/>
      <c r="K36" s="106">
        <v>0</v>
      </c>
      <c r="L36" s="107"/>
      <c r="M36" s="106">
        <v>3</v>
      </c>
      <c r="N36" s="107"/>
      <c r="O36" s="106">
        <v>0</v>
      </c>
      <c r="P36" s="107"/>
      <c r="R36" t="str">
        <f>$C$21&amp;"x"&amp;C36&amp;"/"&amp;$E$21&amp;"x"&amp;E36&amp;"/"&amp;$G$21&amp;"x"&amp;G36&amp;"/"&amp;$I$21&amp;"x"&amp;I36&amp;"/"&amp;$K$21&amp;"x"&amp;K36&amp;"/"&amp;$M$21&amp;"x"&amp;M36&amp;"/"&amp;$O$21&amp;"x"&amp;O36</f>
        <v>STx1/38x38x0/45x45x0/60x60x0/90x90x0/70x70x3/D=22,5x0</v>
      </c>
    </row>
    <row r="37" spans="2:19" x14ac:dyDescent="0.25">
      <c r="B37" s="27"/>
      <c r="C37" s="4" t="str">
        <f>IF(IFERROR(FIND($C$21&amp;"x"&amp;#REF!,$R36),"")&lt;&gt;"","match","")</f>
        <v/>
      </c>
      <c r="D37" s="27"/>
      <c r="E37" s="4" t="str">
        <f>IF(IFERROR(FIND(VLOOKUP(#REF!,Setup_Steckdosen[],3,0)&amp;"x"&amp;#REF!,Config_Frontblenden!$R36),"")&lt;&gt;"","match","")</f>
        <v/>
      </c>
      <c r="F37" s="27"/>
      <c r="G37" t="str">
        <f>IF(IFERROR(FIND(VLOOKUP(#REF!,Setup_Steckdosen[],3,0)&amp;"x"&amp;#REF!+#REF!+#REF!+#REF!+#REF!,Config_Frontblenden!$R36),"")&lt;&gt;"","match","")</f>
        <v/>
      </c>
      <c r="H37" s="27"/>
      <c r="I37" s="4" t="str">
        <f>IF(IFERROR(FIND(VLOOKUP(#REF!,Setup_Steckdosen[],3,0)&amp;"x"&amp;#REF!,Config_Frontblenden!$R36),"")&lt;&gt;"","match","")</f>
        <v/>
      </c>
      <c r="J37" s="27"/>
      <c r="K37" s="4" t="str">
        <f>IF(IFERROR(FIND(VLOOKUP(#REF!,Setup_Steckdosen[],3,0)&amp;"x"&amp;#REF!+#REF!,Config_Frontblenden!$R36),"")&lt;&gt;"","match","")</f>
        <v/>
      </c>
      <c r="L37" s="27"/>
      <c r="M37" s="4" t="str">
        <f>IF(IFERROR(FIND(VLOOKUP(#REF!,Setup_Steckdosen[],3,0)&amp;"x"&amp;#REF!+#REF!,Config_Frontblenden!$R36),"")&lt;&gt;"","match","")</f>
        <v/>
      </c>
      <c r="N37" s="27"/>
      <c r="O37" s="4" t="str">
        <f>IF(IFERROR(FIND(VLOOKUP(#REF!,Setup_Taster[],3,0)&amp;"x"&amp;#REF!,Config_Frontblenden!$R36),"")&lt;&gt;"","match","")</f>
        <v/>
      </c>
      <c r="P37" s="27"/>
      <c r="S37" t="str">
        <f>IF(AND(C37&lt;&gt;"",E37&lt;&gt;"",G37&lt;&gt;"",I37&lt;&gt;"",K37&lt;&gt;"",M37&lt;&gt;"",O37&lt;&gt;""),"ok","0")</f>
        <v>0</v>
      </c>
    </row>
    <row r="38" spans="2:19" x14ac:dyDescent="0.25">
      <c r="B38" s="27" t="s">
        <v>24</v>
      </c>
      <c r="C38" s="106">
        <v>1</v>
      </c>
      <c r="D38" s="107"/>
      <c r="E38" s="106">
        <v>2</v>
      </c>
      <c r="F38" s="107"/>
      <c r="G38" s="106">
        <v>0</v>
      </c>
      <c r="H38" s="107"/>
      <c r="I38" s="106">
        <v>0</v>
      </c>
      <c r="J38" s="107"/>
      <c r="K38" s="106">
        <v>0</v>
      </c>
      <c r="L38" s="107"/>
      <c r="M38" s="106">
        <v>2</v>
      </c>
      <c r="N38" s="107"/>
      <c r="O38" s="106">
        <v>0</v>
      </c>
      <c r="P38" s="107"/>
      <c r="R38" t="str">
        <f>$C$21&amp;"x"&amp;C38&amp;"/"&amp;$E$21&amp;"x"&amp;E38&amp;"/"&amp;$G$21&amp;"x"&amp;G38&amp;"/"&amp;$I$21&amp;"x"&amp;I38&amp;"/"&amp;$K$21&amp;"x"&amp;K38&amp;"/"&amp;$M$21&amp;"x"&amp;M38&amp;"/"&amp;$O$21&amp;"x"&amp;O38</f>
        <v>STx1/38x38x2/45x45x0/60x60x0/90x90x0/70x70x2/D=22,5x0</v>
      </c>
    </row>
    <row r="39" spans="2:19" x14ac:dyDescent="0.25">
      <c r="B39" s="28"/>
      <c r="C39" t="str">
        <f>IF(IFERROR(FIND($C$21&amp;"x"&amp;#REF!,$R38),"")&lt;&gt;"","match","")</f>
        <v/>
      </c>
      <c r="D39" s="26"/>
      <c r="E39" t="str">
        <f>IF(IFERROR(FIND(VLOOKUP(#REF!,Setup_Steckdosen[],3,0)&amp;"x"&amp;#REF!,Config_Frontblenden!$R38),"")&lt;&gt;"","match","")</f>
        <v/>
      </c>
      <c r="F39" s="26"/>
      <c r="G39" t="str">
        <f>IF(IFERROR(FIND(VLOOKUP(#REF!,Setup_Steckdosen[],3,0)&amp;"x"&amp;#REF!+#REF!+#REF!+#REF!+#REF!,Config_Frontblenden!$R38),"")&lt;&gt;"","match","")</f>
        <v/>
      </c>
      <c r="H39" s="26"/>
      <c r="I39" t="str">
        <f>IF(IFERROR(FIND(VLOOKUP(#REF!,Setup_Steckdosen[],3,0)&amp;"x"&amp;#REF!,Config_Frontblenden!$R38),"")&lt;&gt;"","match","")</f>
        <v/>
      </c>
      <c r="J39" s="26"/>
      <c r="K39" t="str">
        <f>IF(IFERROR(FIND(VLOOKUP(#REF!,Setup_Steckdosen[],3,0)&amp;"x"&amp;#REF!+#REF!,Config_Frontblenden!$R38),"")&lt;&gt;"","match","")</f>
        <v/>
      </c>
      <c r="L39" s="26"/>
      <c r="M39" t="str">
        <f>IF(IFERROR(FIND(VLOOKUP(#REF!,Setup_Steckdosen[],3,0)&amp;"x"&amp;#REF!+#REF!,Config_Frontblenden!$R38),"")&lt;&gt;"","match","")</f>
        <v/>
      </c>
      <c r="N39" s="26"/>
      <c r="O39" t="str">
        <f>IF(IFERROR(FIND(VLOOKUP(#REF!,Setup_Taster[],3,0)&amp;"x"&amp;#REF!,Config_Frontblenden!$R38),"")&lt;&gt;"","match","")</f>
        <v/>
      </c>
      <c r="P39" s="28"/>
      <c r="S39" t="str">
        <f>IF(AND(C39&lt;&gt;"",E39&lt;&gt;"",G39&lt;&gt;"",I39&lt;&gt;"",K39&lt;&gt;"",M39&lt;&gt;"",O39&lt;&gt;""),"ok","0")</f>
        <v>0</v>
      </c>
    </row>
    <row r="40" spans="2:19" x14ac:dyDescent="0.25">
      <c r="B40" s="27" t="s">
        <v>55</v>
      </c>
      <c r="C40" s="106">
        <v>1</v>
      </c>
      <c r="D40" s="107"/>
      <c r="E40" s="106">
        <v>2</v>
      </c>
      <c r="F40" s="107"/>
      <c r="G40" s="106">
        <v>0</v>
      </c>
      <c r="H40" s="107"/>
      <c r="I40" s="106">
        <v>0</v>
      </c>
      <c r="J40" s="107"/>
      <c r="K40" s="106">
        <v>0</v>
      </c>
      <c r="L40" s="107"/>
      <c r="M40" s="106">
        <v>0</v>
      </c>
      <c r="N40" s="107"/>
      <c r="O40" s="106">
        <v>0</v>
      </c>
      <c r="P40" s="107"/>
      <c r="R40" t="str">
        <f>$C$21&amp;"x"&amp;C40&amp;"/"&amp;$E$21&amp;"x"&amp;E40&amp;"/"&amp;$G$21&amp;"x"&amp;G40&amp;"/"&amp;$I$21&amp;"x"&amp;I40&amp;"/"&amp;$K$21&amp;"x"&amp;K40&amp;"/"&amp;$M$21&amp;"x"&amp;M40&amp;"/"&amp;$O$21&amp;"x"&amp;O40</f>
        <v>STx1/38x38x2/45x45x0/60x60x0/90x90x0/70x70x0/D=22,5x0</v>
      </c>
    </row>
    <row r="41" spans="2:19" x14ac:dyDescent="0.25">
      <c r="B41" s="28"/>
      <c r="C41" t="str">
        <f>IF(IFERROR(FIND($C$21&amp;"x"&amp;#REF!,$R40),"")&lt;&gt;"","match","")</f>
        <v/>
      </c>
      <c r="D41" s="26"/>
      <c r="E41" t="str">
        <f>IF(IFERROR(FIND(VLOOKUP(#REF!,Setup_Steckdosen[],3,0)&amp;"x"&amp;#REF!,Config_Frontblenden!$R40),"")&lt;&gt;"","match","")</f>
        <v/>
      </c>
      <c r="F41" s="26"/>
      <c r="G41" t="str">
        <f>IF(IFERROR(FIND(VLOOKUP(#REF!,Setup_Steckdosen[],3,0)&amp;"x"&amp;#REF!+#REF!+#REF!+#REF!+#REF!,Config_Frontblenden!$R40),"")&lt;&gt;"","match","")</f>
        <v/>
      </c>
      <c r="H41" s="26"/>
      <c r="I41" t="str">
        <f>IF(IFERROR(FIND(VLOOKUP(#REF!,Setup_Steckdosen[],3,0)&amp;"x"&amp;#REF!,Config_Frontblenden!$R40),"")&lt;&gt;"","match","")</f>
        <v/>
      </c>
      <c r="J41" s="26"/>
      <c r="K41" t="str">
        <f>IF(IFERROR(FIND(VLOOKUP(#REF!,Setup_Steckdosen[],3,0)&amp;"x"&amp;#REF!+#REF!,Config_Frontblenden!$R40),"")&lt;&gt;"","match","")</f>
        <v/>
      </c>
      <c r="L41" s="26"/>
      <c r="M41" t="str">
        <f>IF(IFERROR(FIND(VLOOKUP(#REF!,Setup_Steckdosen[],3,0)&amp;"x"&amp;#REF!+#REF!,Config_Frontblenden!$R40),"")&lt;&gt;"","match","")</f>
        <v/>
      </c>
      <c r="N41" s="26"/>
      <c r="O41" t="str">
        <f>IF(IFERROR(FIND(VLOOKUP(#REF!,Setup_Taster[],3,0)&amp;"x"&amp;#REF!,Config_Frontblenden!$R40),"")&lt;&gt;"","match","")</f>
        <v/>
      </c>
      <c r="P41" s="28"/>
      <c r="S41" t="str">
        <f>IF(AND(C41&lt;&gt;"",E41&lt;&gt;"",G41&lt;&gt;"",I41&lt;&gt;"",K41&lt;&gt;"",M41&lt;&gt;"",O41&lt;&gt;""),"ok","0")</f>
        <v>0</v>
      </c>
    </row>
  </sheetData>
  <dataConsolidate/>
  <mergeCells count="71">
    <mergeCell ref="C34:D34"/>
    <mergeCell ref="C36:D36"/>
    <mergeCell ref="C38:D38"/>
    <mergeCell ref="M40:N40"/>
    <mergeCell ref="O40:P40"/>
    <mergeCell ref="C40:D40"/>
    <mergeCell ref="E40:F40"/>
    <mergeCell ref="G40:H40"/>
    <mergeCell ref="I40:J40"/>
    <mergeCell ref="K40:L40"/>
    <mergeCell ref="E34:F34"/>
    <mergeCell ref="E36:F36"/>
    <mergeCell ref="E38:F38"/>
    <mergeCell ref="G34:H34"/>
    <mergeCell ref="G36:H36"/>
    <mergeCell ref="G38:H38"/>
    <mergeCell ref="C22:D22"/>
    <mergeCell ref="C24:D24"/>
    <mergeCell ref="C26:D26"/>
    <mergeCell ref="C28:D28"/>
    <mergeCell ref="E32:F32"/>
    <mergeCell ref="C30:D30"/>
    <mergeCell ref="C32:D32"/>
    <mergeCell ref="E22:F22"/>
    <mergeCell ref="E24:F24"/>
    <mergeCell ref="E26:F26"/>
    <mergeCell ref="E28:F28"/>
    <mergeCell ref="E30:F30"/>
    <mergeCell ref="G22:H22"/>
    <mergeCell ref="G24:H24"/>
    <mergeCell ref="G26:H26"/>
    <mergeCell ref="G28:H28"/>
    <mergeCell ref="G30:H30"/>
    <mergeCell ref="G32:H32"/>
    <mergeCell ref="I28:J28"/>
    <mergeCell ref="I30:J30"/>
    <mergeCell ref="I32:J32"/>
    <mergeCell ref="I34:J34"/>
    <mergeCell ref="I38:J38"/>
    <mergeCell ref="K32:L32"/>
    <mergeCell ref="K34:L34"/>
    <mergeCell ref="K36:L36"/>
    <mergeCell ref="K38:L38"/>
    <mergeCell ref="K30:L30"/>
    <mergeCell ref="I36:J36"/>
    <mergeCell ref="M26:N26"/>
    <mergeCell ref="M28:N28"/>
    <mergeCell ref="M30:N30"/>
    <mergeCell ref="I22:J22"/>
    <mergeCell ref="I24:J24"/>
    <mergeCell ref="I26:J26"/>
    <mergeCell ref="E20:P20"/>
    <mergeCell ref="O36:P36"/>
    <mergeCell ref="O24:P24"/>
    <mergeCell ref="O26:P26"/>
    <mergeCell ref="O28:P28"/>
    <mergeCell ref="O30:P30"/>
    <mergeCell ref="O22:P22"/>
    <mergeCell ref="M22:N22"/>
    <mergeCell ref="M24:N24"/>
    <mergeCell ref="K22:L22"/>
    <mergeCell ref="K24:L24"/>
    <mergeCell ref="K26:L26"/>
    <mergeCell ref="K28:L28"/>
    <mergeCell ref="O38:P38"/>
    <mergeCell ref="M32:N32"/>
    <mergeCell ref="M34:N34"/>
    <mergeCell ref="M36:N36"/>
    <mergeCell ref="M38:N38"/>
    <mergeCell ref="O32:P32"/>
    <mergeCell ref="O34:P34"/>
  </mergeCells>
  <conditionalFormatting sqref="G22 I22 K22 M22 O22 O24 M24 K24 I24 G24 G26 I26 K26 M26 O26 O28 M28 K28 I28 G28 G30 I30 K30 M30 O30 O32 M32 K32 I32 G32 G34 I34 K34 M34 O34 O36 M36 K36 I36 G36 G38 I38 K38 M38 O38 E22 C22 E24 C24 E26 C26 E28 C28 E30 C30 E32 C32 E34 C34 E36 C36 E38 C38">
    <cfRule type="cellIs" dxfId="3" priority="7" operator="greaterThan">
      <formula>0</formula>
    </cfRule>
    <cfRule type="cellIs" dxfId="2" priority="8" operator="equal">
      <formula>0</formula>
    </cfRule>
  </conditionalFormatting>
  <conditionalFormatting sqref="G40 I40 K40 M40 O40 E40 C40">
    <cfRule type="cellIs" dxfId="1" priority="1" operator="greaterThan">
      <formula>0</formula>
    </cfRule>
    <cfRule type="cellIs" dxfId="0" priority="2" operator="equal">
      <formula>0</formula>
    </cfRule>
  </conditionalFormatting>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Übersicht Elektranten AS</vt:lpstr>
      <vt:lpstr>AS-21</vt:lpstr>
      <vt:lpstr>AS-31</vt:lpstr>
      <vt:lpstr>Config_Einbaugeräte</vt:lpstr>
      <vt:lpstr>Config_Frontblenden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Fake</cp:lastModifiedBy>
  <dcterms:created xsi:type="dcterms:W3CDTF">2020-07-02T07:27:17Z</dcterms:created>
  <dcterms:modified xsi:type="dcterms:W3CDTF">2020-07-24T05:08:05Z</dcterms:modified>
</cp:coreProperties>
</file>